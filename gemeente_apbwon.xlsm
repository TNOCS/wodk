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updateLinks="never" codeName="ThisWorkbook" defaultThemeVersion="124226"/>
  <bookViews>
    <workbookView xWindow="0" yWindow="750" windowWidth="22980" windowHeight="9390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BooleanList">Helpers!$F$2:$F$3</definedName>
    <definedName name="ColorHelpers">Helpers!$R$1:$Z$2</definedName>
    <definedName name="Debugging">Helpers!$L$2</definedName>
    <definedName name="FillColor">Layer!$K$9</definedName>
    <definedName name="HEADERS">Data!$A$1:$X$1</definedName>
    <definedName name="HELPER_PropertyType">Helpers!$G$2:$G$7</definedName>
    <definedName name="HELPER_StringFormats">Helpers!$H$2:$H$10</definedName>
    <definedName name="HELPERS_ColorList">Helpers!$I$2:$I$12</definedName>
    <definedName name="HOST">Helpers!$M$2</definedName>
    <definedName name="ICON">Layer!$H$9</definedName>
    <definedName name="IconList">Helpers!$J$2:$J$473</definedName>
    <definedName name="ID">Layer!#REF!</definedName>
    <definedName name="LayerDefinition">Helpers!$R$4:$AN$5</definedName>
    <definedName name="LayerDefinitionMerged">Helpers!$R$4</definedName>
    <definedName name="LayerDefinitionRow1">Layer!$A$8:$N$9</definedName>
    <definedName name="LayerDefinitionRow2">Layer!$A$11:$I$12</definedName>
    <definedName name="Parameters">Helpers!$AJ$4:$AM$4</definedName>
    <definedName name="PROJECTID">Layer!$A$5</definedName>
    <definedName name="PROJECTLINK">Layer!$A$3</definedName>
    <definedName name="ProjectTitle">Layer!$A$9</definedName>
    <definedName name="Properties">Data!$A$1:$X$394</definedName>
    <definedName name="PropertyTypes">Layer!$A$15:$M$438</definedName>
    <definedName name="SelectedStrokeColor">Layer!$M$9</definedName>
    <definedName name="Something">Data!$A$1:$C$5</definedName>
    <definedName name="StrokeColor">Layer!$L$9</definedName>
    <definedName name="URL">Helpers!$N$2</definedName>
  </definedNames>
  <calcPr calcId="145621"/>
</workbook>
</file>

<file path=xl/calcChain.xml><?xml version="1.0" encoding="utf-8"?>
<calcChain xmlns="http://schemas.openxmlformats.org/spreadsheetml/2006/main">
  <c r="H11" i="1" l="1"/>
  <c r="G11" i="1"/>
  <c r="E11" i="1"/>
  <c r="F11" i="1"/>
  <c r="X2" i="4" l="1"/>
  <c r="Y2" i="4"/>
  <c r="Z2" i="4"/>
  <c r="W2" i="4" l="1"/>
  <c r="V2" i="4"/>
  <c r="U2" i="4"/>
  <c r="T2" i="4"/>
  <c r="S2" i="4"/>
  <c r="R2" i="4"/>
</calcChain>
</file>

<file path=xl/sharedStrings.xml><?xml version="1.0" encoding="utf-8"?>
<sst xmlns="http://schemas.openxmlformats.org/spreadsheetml/2006/main" count="1896" uniqueCount="946">
  <si>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</si>
  <si>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</si>
  <si>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</si>
  <si>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</si>
  <si>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</si>
  <si>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</si>
  <si>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</si>
  <si>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</si>
  <si>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</si>
  <si>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</si>
  <si>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</si>
  <si>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</si>
  <si>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</si>
  <si>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</si>
  <si>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</si>
  <si>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</si>
  <si>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</si>
  <si>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</si>
  <si>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</si>
  <si>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</si>
  <si>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</si>
  <si>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</si>
  <si>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</si>
  <si>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</si>
  <si>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</si>
  <si>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</si>
  <si>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</si>
  <si>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</si>
  <si>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</si>
  <si>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</si>
  <si>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</si>
  <si>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</si>
  <si>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</si>
  <si>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</si>
  <si>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</si>
  <si>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</si>
  <si>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</si>
  <si>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</si>
  <si>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</si>
  <si>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</si>
  <si>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</si>
  <si>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</si>
  <si>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</si>
  <si>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</si>
  <si>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</si>
  <si>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</si>
  <si>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</si>
  <si>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</si>
  <si>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</si>
  <si>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</si>
  <si>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</si>
  <si>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</si>
  <si>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</si>
  <si>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</si>
  <si>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</si>
  <si>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</si>
  <si>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</si>
  <si>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</si>
  <si>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</si>
  <si>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</si>
  <si>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</si>
  <si>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</si>
  <si>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</si>
  <si>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</si>
  <si>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</si>
  <si>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</si>
  <si>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</si>
  <si>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</si>
  <si>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</si>
  <si>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</si>
  <si>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</si>
  <si>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</si>
  <si>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</si>
  <si>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</si>
  <si>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</si>
  <si>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</si>
  <si>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</si>
  <si>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</si>
  <si>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</si>
  <si>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</si>
  <si>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</si>
  <si>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</si>
  <si>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</si>
  <si>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</si>
  <si>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</si>
  <si>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</si>
  <si>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</si>
  <si>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</si>
  <si>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</si>
  <si>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</si>
  <si>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</si>
  <si>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http://localhost:3002</t>
  </si>
  <si>
    <t>http://localhost:3002/projecttemplate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</si>
  <si>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</si>
  <si>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</si>
  <si>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</si>
  <si>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</si>
  <si>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</si>
  <si>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</si>
  <si>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</si>
  <si>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</si>
  <si>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</si>
  <si>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</si>
  <si>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</si>
  <si>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</si>
  <si>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</si>
  <si>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</si>
  <si>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</si>
  <si>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</si>
  <si>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</si>
  <si>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</si>
  <si>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</si>
  <si>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</si>
  <si>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</si>
  <si>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</si>
  <si>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</si>
  <si>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</si>
  <si>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</si>
  <si>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</si>
  <si>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</si>
  <si>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</si>
  <si>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Versie 0.1 alpha</t>
  </si>
  <si>
    <t>ster_0</t>
  </si>
  <si>
    <t>ster_1</t>
  </si>
  <si>
    <t>ster_2</t>
  </si>
  <si>
    <t>ster_3</t>
  </si>
  <si>
    <t>ster_4</t>
  </si>
  <si>
    <t>ster_5</t>
  </si>
  <si>
    <t>ster_onb</t>
  </si>
  <si>
    <t>ster_totaal</t>
  </si>
  <si>
    <t>a_huko_onb</t>
  </si>
  <si>
    <t>a_koopwon</t>
  </si>
  <si>
    <t>a_huurwon</t>
  </si>
  <si>
    <t>a_1gezw</t>
  </si>
  <si>
    <t>a_mgezw</t>
  </si>
  <si>
    <t>gemeentenaam</t>
  </si>
  <si>
    <t>Neder-Betuwe</t>
  </si>
  <si>
    <t>Enschede</t>
  </si>
  <si>
    <t>Hoogezand-Sappemeer</t>
  </si>
  <si>
    <t>Beek</t>
  </si>
  <si>
    <t>Oost Gelre</t>
  </si>
  <si>
    <t>Zeewolde</t>
  </si>
  <si>
    <t>Beemster</t>
  </si>
  <si>
    <t>Giessenlanden</t>
  </si>
  <si>
    <t>Waddinxveen</t>
  </si>
  <si>
    <t>Rhenen</t>
  </si>
  <si>
    <t>Veendam</t>
  </si>
  <si>
    <t>Waterland</t>
  </si>
  <si>
    <t>Ermelo</t>
  </si>
  <si>
    <t>Boxmeer</t>
  </si>
  <si>
    <t>Medemblik</t>
  </si>
  <si>
    <t>Menterwolde</t>
  </si>
  <si>
    <t>Zederik</t>
  </si>
  <si>
    <t>Beesel</t>
  </si>
  <si>
    <t>Oosterhout</t>
  </si>
  <si>
    <t>Gulpen-Wittem</t>
  </si>
  <si>
    <t>Uithoorn</t>
  </si>
  <si>
    <t>Boxtel</t>
  </si>
  <si>
    <t>Velsen</t>
  </si>
  <si>
    <t>'s-Gravenhage</t>
  </si>
  <si>
    <t>Amstelveen</t>
  </si>
  <si>
    <t>Culemborg</t>
  </si>
  <si>
    <t>Wageningen</t>
  </si>
  <si>
    <t>Zevenaar</t>
  </si>
  <si>
    <t>Sliedrecht</t>
  </si>
  <si>
    <t>Oudewater</t>
  </si>
  <si>
    <t>Wierden</t>
  </si>
  <si>
    <t>Valkenburg aan de Geul</t>
  </si>
  <si>
    <t>Bellingwedde</t>
  </si>
  <si>
    <t>Geldermalsen</t>
  </si>
  <si>
    <t>Drechterland</t>
  </si>
  <si>
    <t>Vianen</t>
  </si>
  <si>
    <t>Woudrichem</t>
  </si>
  <si>
    <t>Montferland</t>
  </si>
  <si>
    <t>Nijmegen</t>
  </si>
  <si>
    <t>Noordwijkerhout</t>
  </si>
  <si>
    <t>Barneveld</t>
  </si>
  <si>
    <t>Ede</t>
  </si>
  <si>
    <t>Rijswijk</t>
  </si>
  <si>
    <t>Dongen</t>
  </si>
  <si>
    <t>Heerenveen</t>
  </si>
  <si>
    <t>Wormerland</t>
  </si>
  <si>
    <t>Terneuzen</t>
  </si>
  <si>
    <t>Tytsjerksteradiel</t>
  </si>
  <si>
    <t>Horst aan de Maas</t>
  </si>
  <si>
    <t>Katwijk</t>
  </si>
  <si>
    <t>Wijchen</t>
  </si>
  <si>
    <t>Haarlemmermeer</t>
  </si>
  <si>
    <t>Krimpenerwaard</t>
  </si>
  <si>
    <t>Opsterland</t>
  </si>
  <si>
    <t>Ameland</t>
  </si>
  <si>
    <t>Berkelland</t>
  </si>
  <si>
    <t>Arnhem</t>
  </si>
  <si>
    <t>Maasdriel</t>
  </si>
  <si>
    <t>Beverwijk</t>
  </si>
  <si>
    <t>Waalwijk</t>
  </si>
  <si>
    <t>Moerdijk</t>
  </si>
  <si>
    <t>Beuningen</t>
  </si>
  <si>
    <t>Zoetermeer</t>
  </si>
  <si>
    <t>Leudal</t>
  </si>
  <si>
    <t>Emmen</t>
  </si>
  <si>
    <t>Delft</t>
  </si>
  <si>
    <t>Voerendaal</t>
  </si>
  <si>
    <t>Ferwerderadiel</t>
  </si>
  <si>
    <t>Ten Boer</t>
  </si>
  <si>
    <t>Groesbeek</t>
  </si>
  <si>
    <t>Vlieland</t>
  </si>
  <si>
    <t>Rucphen</t>
  </si>
  <si>
    <t>Grootegast</t>
  </si>
  <si>
    <t>Dantumadiel</t>
  </si>
  <si>
    <t>Roosendaal</t>
  </si>
  <si>
    <t>Zeevang</t>
  </si>
  <si>
    <t>Heusden</t>
  </si>
  <si>
    <t>Bunschoten</t>
  </si>
  <si>
    <t>Doetinchem</t>
  </si>
  <si>
    <t>Hollands Kroon</t>
  </si>
  <si>
    <t>Gemert-Bakel</t>
  </si>
  <si>
    <t>Buren</t>
  </si>
  <si>
    <t>Dinkelland</t>
  </si>
  <si>
    <t>het Bildt</t>
  </si>
  <si>
    <t>Schouwen-Duiveland</t>
  </si>
  <si>
    <t>De Wolden</t>
  </si>
  <si>
    <t>Putten</t>
  </si>
  <si>
    <t>Oude IJsselstreek</t>
  </si>
  <si>
    <t>Alphen-Chaam</t>
  </si>
  <si>
    <t>Hoogeveen</t>
  </si>
  <si>
    <t>Vlaardingen</t>
  </si>
  <si>
    <t>Haaren</t>
  </si>
  <si>
    <t>Schijndel</t>
  </si>
  <si>
    <t>Sint-Michielsgestel</t>
  </si>
  <si>
    <t>Uitgeest</t>
  </si>
  <si>
    <t>Harderwijk</t>
  </si>
  <si>
    <t>Pijnacker-Nootdorp</t>
  </si>
  <si>
    <t>Voorst</t>
  </si>
  <si>
    <t>Woudenberg</t>
  </si>
  <si>
    <t>Tilburg</t>
  </si>
  <si>
    <t>Renkum</t>
  </si>
  <si>
    <t>Lopik</t>
  </si>
  <si>
    <t>Scherpenzeel</t>
  </si>
  <si>
    <t>Winsum</t>
  </si>
  <si>
    <t>Zwartewaterland</t>
  </si>
  <si>
    <t>Menameradiel</t>
  </si>
  <si>
    <t>Deventer</t>
  </si>
  <si>
    <t>Ommen</t>
  </si>
  <si>
    <t>Aalsmeer</t>
  </si>
  <si>
    <t>Bergen (NH.)</t>
  </si>
  <si>
    <t>Nieuwkoop</t>
  </si>
  <si>
    <t>Bernheze</t>
  </si>
  <si>
    <t>Mill en Sint Hubert</t>
  </si>
  <si>
    <t>Utrecht</t>
  </si>
  <si>
    <t>Binnenmaas</t>
  </si>
  <si>
    <t>Peel en Maas</t>
  </si>
  <si>
    <t>Eemsmond</t>
  </si>
  <si>
    <t>Eemnes</t>
  </si>
  <si>
    <t>Blaricum</t>
  </si>
  <si>
    <t>De Ronde Venen</t>
  </si>
  <si>
    <t>Eersel</t>
  </si>
  <si>
    <t>Bladel</t>
  </si>
  <si>
    <t>Weert</t>
  </si>
  <si>
    <t>Drimmelen</t>
  </si>
  <si>
    <t>Steenbergen</t>
  </si>
  <si>
    <t>Tynaarlo</t>
  </si>
  <si>
    <t>Heerlen</t>
  </si>
  <si>
    <t>Meerssen</t>
  </si>
  <si>
    <t>Bedum</t>
  </si>
  <si>
    <t>Goes</t>
  </si>
  <si>
    <t>Neerijnen</t>
  </si>
  <si>
    <t>Brielle</t>
  </si>
  <si>
    <t>Vught</t>
  </si>
  <si>
    <t>Uden</t>
  </si>
  <si>
    <t>Brummen</t>
  </si>
  <si>
    <t>Delfzijl</t>
  </si>
  <si>
    <t>Dongeradeel</t>
  </si>
  <si>
    <t>Weststellingwerf</t>
  </si>
  <si>
    <t>Oss</t>
  </si>
  <si>
    <t>Simpelveld</t>
  </si>
  <si>
    <t>Olst-Wijhe</t>
  </si>
  <si>
    <t>Midden-Delfland</t>
  </si>
  <si>
    <t>Deurne</t>
  </si>
  <si>
    <t>Zuidplas</t>
  </si>
  <si>
    <t>Coevorden</t>
  </si>
  <si>
    <t>Hengelo</t>
  </si>
  <si>
    <t>Waalre</t>
  </si>
  <si>
    <t>Haaksbergen</t>
  </si>
  <si>
    <t>Lansingerland</t>
  </si>
  <si>
    <t>Westland</t>
  </si>
  <si>
    <t>Haarlem</t>
  </si>
  <si>
    <t>Rijssen-Holten</t>
  </si>
  <si>
    <t>Twenterand</t>
  </si>
  <si>
    <t>Nieuwegein</t>
  </si>
  <si>
    <t>Heerde</t>
  </si>
  <si>
    <t>Zaltbommel</t>
  </si>
  <si>
    <t>Zoeterwoude</t>
  </si>
  <si>
    <t>Capelle aan den IJssel</t>
  </si>
  <si>
    <t>Woerden</t>
  </si>
  <si>
    <t>Etten-Leur</t>
  </si>
  <si>
    <t>Raalte</t>
  </si>
  <si>
    <t>Kerkrade</t>
  </si>
  <si>
    <t>Hellevoetsluis</t>
  </si>
  <si>
    <t>Lingewaal</t>
  </si>
  <si>
    <t>Marum</t>
  </si>
  <si>
    <t>Oostzaan</t>
  </si>
  <si>
    <t>Hilversum</t>
  </si>
  <si>
    <t>Sint-Oedenrode</t>
  </si>
  <si>
    <t>Koggenland</t>
  </si>
  <si>
    <t>Hardenberg</t>
  </si>
  <si>
    <t>Roerdalen</t>
  </si>
  <si>
    <t>Kollumerland en Nieuwkruisland</t>
  </si>
  <si>
    <t>Schiedam</t>
  </si>
  <si>
    <t>Rozendaal</t>
  </si>
  <si>
    <t>Westerveld</t>
  </si>
  <si>
    <t>Epe</t>
  </si>
  <si>
    <t>Leeuwarden</t>
  </si>
  <si>
    <t>Heiloo</t>
  </si>
  <si>
    <t>Nuenen, Gerwen en Nederwetten</t>
  </si>
  <si>
    <t>Oirschot</t>
  </si>
  <si>
    <t>Amsterdam</t>
  </si>
  <si>
    <t>Gorinchem</t>
  </si>
  <si>
    <t>Laarbeek</t>
  </si>
  <si>
    <t>Laren</t>
  </si>
  <si>
    <t>Naarden</t>
  </si>
  <si>
    <t>Veere</t>
  </si>
  <si>
    <t>Losser</t>
  </si>
  <si>
    <t>Noordwijk</t>
  </si>
  <si>
    <t>Overbetuwe</t>
  </si>
  <si>
    <t>Gilze en Rijen</t>
  </si>
  <si>
    <t>Smallingerland</t>
  </si>
  <si>
    <t>Dalfsen</t>
  </si>
  <si>
    <t>Asten</t>
  </si>
  <si>
    <t>Assen</t>
  </si>
  <si>
    <t>Bronckhorst</t>
  </si>
  <si>
    <t>Littenseradiel</t>
  </si>
  <si>
    <t>Venlo</t>
  </si>
  <si>
    <t>Baarn</t>
  </si>
  <si>
    <t>Meppel</t>
  </si>
  <si>
    <t>Heemstede</t>
  </si>
  <si>
    <t>Oisterwijk</t>
  </si>
  <si>
    <t>Sittard-Geleen</t>
  </si>
  <si>
    <t>Elburg</t>
  </si>
  <si>
    <t>Vaals</t>
  </si>
  <si>
    <t>Barendrecht</t>
  </si>
  <si>
    <t>De Bilt</t>
  </si>
  <si>
    <t>Mook en Middelaar</t>
  </si>
  <si>
    <t>Noordenveld</t>
  </si>
  <si>
    <t>Ridderkerk</t>
  </si>
  <si>
    <t>Veghel</t>
  </si>
  <si>
    <t>Sluis</t>
  </si>
  <si>
    <t>Opmeer</t>
  </si>
  <si>
    <t>Zaanstad</t>
  </si>
  <si>
    <t>Werkendam</t>
  </si>
  <si>
    <t>Oldebroek</t>
  </si>
  <si>
    <t>Kapelle</t>
  </si>
  <si>
    <t>Leidschendam-Voorburg</t>
  </si>
  <si>
    <t>Zwolle</t>
  </si>
  <si>
    <t>Vlissingen</t>
  </si>
  <si>
    <t>Staphorst</t>
  </si>
  <si>
    <t>Bodegraven-Reeuwijk</t>
  </si>
  <si>
    <t>Purmerend</t>
  </si>
  <si>
    <t>Bergen op Zoom</t>
  </si>
  <si>
    <t>Boekel</t>
  </si>
  <si>
    <t>Terschelling</t>
  </si>
  <si>
    <t>Alblasserdam</t>
  </si>
  <si>
    <t>Tiel</t>
  </si>
  <si>
    <t>Heeze-Leende</t>
  </si>
  <si>
    <t>Oldambt</t>
  </si>
  <si>
    <t>Druten</t>
  </si>
  <si>
    <t>Cuijk</t>
  </si>
  <si>
    <t>Almelo</t>
  </si>
  <si>
    <t>Eijsden-Margraten</t>
  </si>
  <si>
    <t>Voorschoten</t>
  </si>
  <si>
    <t>Zwijndrecht</t>
  </si>
  <si>
    <t>Nissewaard</t>
  </si>
  <si>
    <t>Geldrop-Mierlo</t>
  </si>
  <si>
    <t>Urk</t>
  </si>
  <si>
    <t>Schiermonnikoog</t>
  </si>
  <si>
    <t>Borsele</t>
  </si>
  <si>
    <t>Eindhoven</t>
  </si>
  <si>
    <t>Leerdam</t>
  </si>
  <si>
    <t>Groningen</t>
  </si>
  <si>
    <t>Halderberge</t>
  </si>
  <si>
    <t>Stichtse Vecht</t>
  </si>
  <si>
    <t>Leeuwarderadeel</t>
  </si>
  <si>
    <t>Rijnwaarden</t>
  </si>
  <si>
    <t>Aalten</t>
  </si>
  <si>
    <t>Zandvoort</t>
  </si>
  <si>
    <t>Goirle</t>
  </si>
  <si>
    <t>Stadskanaal</t>
  </si>
  <si>
    <t>Rotterdam</t>
  </si>
  <si>
    <t>Zundert</t>
  </si>
  <si>
    <t>Teylingen</t>
  </si>
  <si>
    <t>Goeree-Overflakkee</t>
  </si>
  <si>
    <t>Helmond</t>
  </si>
  <si>
    <t>Leusden</t>
  </si>
  <si>
    <t>Heerhugowaard</t>
  </si>
  <si>
    <t>Nunspeet</t>
  </si>
  <si>
    <t>Kaag en Braassem</t>
  </si>
  <si>
    <t>Reusel-De Mierden</t>
  </si>
  <si>
    <t>Hilvarenbeek</t>
  </si>
  <si>
    <t>Valkenswaard</t>
  </si>
  <si>
    <t>Midden-Drenthe</t>
  </si>
  <si>
    <t>Houten</t>
  </si>
  <si>
    <t>Lochem</t>
  </si>
  <si>
    <t>De Marne</t>
  </si>
  <si>
    <t>Bloemendaal</t>
  </si>
  <si>
    <t>Woensdrecht</t>
  </si>
  <si>
    <t>Oud-Beijerland</t>
  </si>
  <si>
    <t>Borger-Odoorn</t>
  </si>
  <si>
    <t>Hof van Twente</t>
  </si>
  <si>
    <t>Westvoorne</t>
  </si>
  <si>
    <t>Bergeijk</t>
  </si>
  <si>
    <t>Franekeradeel</t>
  </si>
  <si>
    <t>Gouda</t>
  </si>
  <si>
    <t>Gennep</t>
  </si>
  <si>
    <t>Reimerswaal</t>
  </si>
  <si>
    <t>Lingewaard</t>
  </si>
  <si>
    <t>Loppersum</t>
  </si>
  <si>
    <t>Zutphen</t>
  </si>
  <si>
    <t>Apeldoorn</t>
  </si>
  <si>
    <t>Krimpen aan den IJssel</t>
  </si>
  <si>
    <t>Wijk bij Duurstede</t>
  </si>
  <si>
    <t>Nederweert</t>
  </si>
  <si>
    <t>Bussum</t>
  </si>
  <si>
    <t>Grave</t>
  </si>
  <si>
    <t>Noord-Beveland</t>
  </si>
  <si>
    <t>Harlingen</t>
  </si>
  <si>
    <t>Alkmaar</t>
  </si>
  <si>
    <t>Alphen aan den Rijn</t>
  </si>
  <si>
    <t>Renswoude</t>
  </si>
  <si>
    <t>Kampen</t>
  </si>
  <si>
    <t>Tubbergen</t>
  </si>
  <si>
    <t>Amersfoort</t>
  </si>
  <si>
    <t>Hoorn</t>
  </si>
  <si>
    <t>Schagen</t>
  </si>
  <si>
    <t>Zuidhorn</t>
  </si>
  <si>
    <t>Heumen</t>
  </si>
  <si>
    <t>Stede Broec</t>
  </si>
  <si>
    <t>Hendrik-Ido-Ambacht</t>
  </si>
  <si>
    <t>Vlagtwedde</t>
  </si>
  <si>
    <t>Molenwaard</t>
  </si>
  <si>
    <t>Cromstrijen</t>
  </si>
  <si>
    <t>Landerd</t>
  </si>
  <si>
    <t>Someren</t>
  </si>
  <si>
    <t>Roermond</t>
  </si>
  <si>
    <t>Haren</t>
  </si>
  <si>
    <t>Veldhoven</t>
  </si>
  <si>
    <t>Onderbanken</t>
  </si>
  <si>
    <t>Westervoort</t>
  </si>
  <si>
    <t>Son en Breugel</t>
  </si>
  <si>
    <t>Baarle-Nassau</t>
  </si>
  <si>
    <t>Maasgouw</t>
  </si>
  <si>
    <t>Castricum</t>
  </si>
  <si>
    <t>Schinnen</t>
  </si>
  <si>
    <t>Heemskerk</t>
  </si>
  <si>
    <t>Maastricht</t>
  </si>
  <si>
    <t>Lelystad</t>
  </si>
  <si>
    <t>Hellendoorn</t>
  </si>
  <si>
    <t>Nijkerk</t>
  </si>
  <si>
    <t>Langedijk</t>
  </si>
  <si>
    <t>Achtkarspelen</t>
  </si>
  <si>
    <t>Brunssum</t>
  </si>
  <si>
    <t>Aalburg</t>
  </si>
  <si>
    <t>'s-Hertogenbosch</t>
  </si>
  <si>
    <t>Loon op Zand</t>
  </si>
  <si>
    <t>Montfoort</t>
  </si>
  <si>
    <t>Cranendonck</t>
  </si>
  <si>
    <t>Sint Anthonis</t>
  </si>
  <si>
    <t>Enkhuizen</t>
  </si>
  <si>
    <t>West Maas en Waal</t>
  </si>
  <si>
    <t>Rheden</t>
  </si>
  <si>
    <t>Soest</t>
  </si>
  <si>
    <t>Ooststellingwerf</t>
  </si>
  <si>
    <t>Best</t>
  </si>
  <si>
    <t>Appingedam</t>
  </si>
  <si>
    <t>Diemen</t>
  </si>
  <si>
    <t>Duiven</t>
  </si>
  <si>
    <t>Muiden</t>
  </si>
  <si>
    <t>Aa en Hunze</t>
  </si>
  <si>
    <t>Zeist</t>
  </si>
  <si>
    <t>Ouder-Amstel</t>
  </si>
  <si>
    <t>Weesp</t>
  </si>
  <si>
    <t>IJsselstein</t>
  </si>
  <si>
    <t>Bergen (L.)</t>
  </si>
  <si>
    <t>Strijen</t>
  </si>
  <si>
    <t>Breda</t>
  </si>
  <si>
    <t>Steenwijkerland</t>
  </si>
  <si>
    <t>Oldenzaal</t>
  </si>
  <si>
    <t>Landgraaf</t>
  </si>
  <si>
    <t>Almere</t>
  </si>
  <si>
    <t>Dronten</t>
  </si>
  <si>
    <t>Lisse</t>
  </si>
  <si>
    <t>Wassenaar</t>
  </si>
  <si>
    <t>Stein</t>
  </si>
  <si>
    <t>Echt-Susteren</t>
  </si>
  <si>
    <t>Korendijk</t>
  </si>
  <si>
    <t>Utrechtse Heuvelrug</t>
  </si>
  <si>
    <t>Texel</t>
  </si>
  <si>
    <t>Haarlemmerliede en Spaarnwoude</t>
  </si>
  <si>
    <t>Tholen</t>
  </si>
  <si>
    <t>Leiderdorp</t>
  </si>
  <si>
    <t>Bunnik</t>
  </si>
  <si>
    <t>Pekela</t>
  </si>
  <si>
    <t>Leek</t>
  </si>
  <si>
    <t>Hulst</t>
  </si>
  <si>
    <t>Edam-Volendam</t>
  </si>
  <si>
    <t>Papendrecht</t>
  </si>
  <si>
    <t>Albrandswaard</t>
  </si>
  <si>
    <t>Noordoostpolder</t>
  </si>
  <si>
    <t>Maassluis</t>
  </si>
  <si>
    <t>Hillegom</t>
  </si>
  <si>
    <t>Veenendaal</t>
  </si>
  <si>
    <t>Landsmeer</t>
  </si>
  <si>
    <t>Nuth</t>
  </si>
  <si>
    <t>Huizen</t>
  </si>
  <si>
    <t>Middelburg</t>
  </si>
  <si>
    <t>Hardinxveld-Giessendam</t>
  </si>
  <si>
    <t>Winterswijk</t>
  </si>
  <si>
    <t>Oegstgeest</t>
  </si>
  <si>
    <t>Geertruidenberg</t>
  </si>
  <si>
    <t>Dordrecht</t>
  </si>
  <si>
    <t>Den Helder</t>
  </si>
  <si>
    <t>Hattem</t>
  </si>
  <si>
    <t>Venray</t>
  </si>
  <si>
    <t>Slochteren</t>
  </si>
  <si>
    <t>Borne</t>
  </si>
  <si>
    <t>Leiden</t>
  </si>
  <si>
    <t>Wijdemeren</t>
  </si>
  <si>
    <t>Doesburg</t>
  </si>
  <si>
    <t>Gemeentes</t>
  </si>
  <si>
    <t>Gemeentes (bron: CBS)</t>
  </si>
  <si>
    <t>gemeente</t>
  </si>
  <si>
    <t>cbs_gemeente</t>
  </si>
  <si>
    <t>#9999ff</t>
  </si>
  <si>
    <t>#0000ff</t>
  </si>
  <si>
    <t>CBS_Gemeente_op_naam_2015</t>
  </si>
  <si>
    <t>GM_CODE</t>
  </si>
  <si>
    <t>aant_inw</t>
  </si>
  <si>
    <t>Súdwest-Fryslân</t>
  </si>
  <si>
    <t>ster_in_ond</t>
  </si>
  <si>
    <t>GM1740</t>
  </si>
  <si>
    <t>GM0153</t>
  </si>
  <si>
    <t>GM0018</t>
  </si>
  <si>
    <t>GM0888</t>
  </si>
  <si>
    <t>GM1586</t>
  </si>
  <si>
    <t>GM0050</t>
  </si>
  <si>
    <t>GM1901</t>
  </si>
  <si>
    <t>GM0439</t>
  </si>
  <si>
    <t>GM0370</t>
  </si>
  <si>
    <t>GM0689</t>
  </si>
  <si>
    <t>GM0627</t>
  </si>
  <si>
    <t>GM1916</t>
  </si>
  <si>
    <t>GM0193</t>
  </si>
  <si>
    <t>GM0340</t>
  </si>
  <si>
    <t>GM0047</t>
  </si>
  <si>
    <t>GM0852</t>
  </si>
  <si>
    <t>GM0233</t>
  </si>
  <si>
    <t>GM0756</t>
  </si>
  <si>
    <t>GM0420</t>
  </si>
  <si>
    <t>GM0944</t>
  </si>
  <si>
    <t>GM1714</t>
  </si>
  <si>
    <t>GM0432</t>
  </si>
  <si>
    <t>GM0479</t>
  </si>
  <si>
    <t>GM0870</t>
  </si>
  <si>
    <t>GM0269</t>
  </si>
  <si>
    <t>GM0678</t>
  </si>
  <si>
    <t>GM0718</t>
  </si>
  <si>
    <t>GM0180</t>
  </si>
  <si>
    <t>GM0748</t>
  </si>
  <si>
    <t>GM0453</t>
  </si>
  <si>
    <t>GM0518</t>
  </si>
  <si>
    <t>GM0362</t>
  </si>
  <si>
    <t>GM0216</t>
  </si>
  <si>
    <t>GM0289</t>
  </si>
  <si>
    <t>GM0299</t>
  </si>
  <si>
    <t>GM0610</t>
  </si>
  <si>
    <t>GM0626</t>
  </si>
  <si>
    <t>GM0755</t>
  </si>
  <si>
    <t>GM1987</t>
  </si>
  <si>
    <t>GM0589</t>
  </si>
  <si>
    <t>GM0189</t>
  </si>
  <si>
    <t>GM0994</t>
  </si>
  <si>
    <t>GM0388</t>
  </si>
  <si>
    <t>GM0668</t>
  </si>
  <si>
    <t>GM0275</t>
  </si>
  <si>
    <t>GM0342</t>
  </si>
  <si>
    <t>GM0085</t>
  </si>
  <si>
    <t>GM0753</t>
  </si>
  <si>
    <t>GM0003</t>
  </si>
  <si>
    <t>GM0576</t>
  </si>
  <si>
    <t>GM0203</t>
  </si>
  <si>
    <t>GM0794</t>
  </si>
  <si>
    <t>GM1884</t>
  </si>
  <si>
    <t>GM0296</t>
  </si>
  <si>
    <t>GM0394</t>
  </si>
  <si>
    <t>GM1931</t>
  </si>
  <si>
    <t>GM0086</t>
  </si>
  <si>
    <t>GM0060</t>
  </si>
  <si>
    <t>GM1859</t>
  </si>
  <si>
    <t>GM0202</t>
  </si>
  <si>
    <t>GM0263</t>
  </si>
  <si>
    <t>GM0375</t>
  </si>
  <si>
    <t>GM0867</t>
  </si>
  <si>
    <t>GM1709</t>
  </si>
  <si>
    <t>GM0209</t>
  </si>
  <si>
    <t>GM1640</t>
  </si>
  <si>
    <t>GM0114</t>
  </si>
  <si>
    <t>GM0503</t>
  </si>
  <si>
    <t>GM0986</t>
  </si>
  <si>
    <t>GM1722</t>
  </si>
  <si>
    <t>GM0009</t>
  </si>
  <si>
    <t>GM0241</t>
  </si>
  <si>
    <t>GM0907</t>
  </si>
  <si>
    <t>GM0703</t>
  </si>
  <si>
    <t>GM0301</t>
  </si>
  <si>
    <t>GM0096</t>
  </si>
  <si>
    <t>GM0840</t>
  </si>
  <si>
    <t>GM0015</t>
  </si>
  <si>
    <t>GM1891</t>
  </si>
  <si>
    <t>GM1674</t>
  </si>
  <si>
    <t>GM0478</t>
  </si>
  <si>
    <t>GM0797</t>
  </si>
  <si>
    <t>GM0313</t>
  </si>
  <si>
    <t>GM0222</t>
  </si>
  <si>
    <t>GM1911</t>
  </si>
  <si>
    <t>GM1652</t>
  </si>
  <si>
    <t>GM0214</t>
  </si>
  <si>
    <t>GM1774</t>
  </si>
  <si>
    <t>GM0063</t>
  </si>
  <si>
    <t>GM1676</t>
  </si>
  <si>
    <t>GM1690</t>
  </si>
  <si>
    <t>GM0273</t>
  </si>
  <si>
    <t>GM0339</t>
  </si>
  <si>
    <t>GM0166</t>
  </si>
  <si>
    <t>GM0183</t>
  </si>
  <si>
    <t>GM0307</t>
  </si>
  <si>
    <t>GM0405</t>
  </si>
  <si>
    <t>GM0441</t>
  </si>
  <si>
    <t>GM0056</t>
  </si>
  <si>
    <t>GM1509</t>
  </si>
  <si>
    <t>GM1723</t>
  </si>
  <si>
    <t>GM0118</t>
  </si>
  <si>
    <t>GM0622</t>
  </si>
  <si>
    <t>GM0788</t>
  </si>
  <si>
    <t>GM0844</t>
  </si>
  <si>
    <t>GM0845</t>
  </si>
  <si>
    <t>GM0450</t>
  </si>
  <si>
    <t>GM0243</t>
  </si>
  <si>
    <t>GM1926</t>
  </si>
  <si>
    <t>GM0285</t>
  </si>
  <si>
    <t>GM0351</t>
  </si>
  <si>
    <t>GM0855</t>
  </si>
  <si>
    <t>GM0274</t>
  </si>
  <si>
    <t>GM0331</t>
  </si>
  <si>
    <t>GM0279</t>
  </si>
  <si>
    <t>GM0053</t>
  </si>
  <si>
    <t>GM1896</t>
  </si>
  <si>
    <t>GM1908</t>
  </si>
  <si>
    <t>GM0150</t>
  </si>
  <si>
    <t>GM0175</t>
  </si>
  <si>
    <t>GM0358</t>
  </si>
  <si>
    <t>GM0373</t>
  </si>
  <si>
    <t>GM0569</t>
  </si>
  <si>
    <t>GM1721</t>
  </si>
  <si>
    <t>GM0815</t>
  </si>
  <si>
    <t>GM0344</t>
  </si>
  <si>
    <t>GM0585</t>
  </si>
  <si>
    <t>GM1894</t>
  </si>
  <si>
    <t>GM1651</t>
  </si>
  <si>
    <t>GM0317</t>
  </si>
  <si>
    <t>GM1581</t>
  </si>
  <si>
    <t>GM0765</t>
  </si>
  <si>
    <t>GM0022</t>
  </si>
  <si>
    <t>GM0376</t>
  </si>
  <si>
    <t>GM0736</t>
  </si>
  <si>
    <t>GM0770</t>
  </si>
  <si>
    <t>GM1728</t>
  </si>
  <si>
    <t>GM1940</t>
  </si>
  <si>
    <t>GM0988</t>
  </si>
  <si>
    <t>GM1719</t>
  </si>
  <si>
    <t>GM0851</t>
  </si>
  <si>
    <t>GM1730</t>
  </si>
  <si>
    <t>GM0917</t>
  </si>
  <si>
    <t>GM0938</t>
  </si>
  <si>
    <t>GM0005</t>
  </si>
  <si>
    <t>GM0664</t>
  </si>
  <si>
    <t>GM0304</t>
  </si>
  <si>
    <t>GM0501</t>
  </si>
  <si>
    <t>GM0865</t>
  </si>
  <si>
    <t>GM0856</t>
  </si>
  <si>
    <t>GM0213</t>
  </si>
  <si>
    <t>GM0010</t>
  </si>
  <si>
    <t>GM0058</t>
  </si>
  <si>
    <t>GM0098</t>
  </si>
  <si>
    <t>GM0828</t>
  </si>
  <si>
    <t>GM0965</t>
  </si>
  <si>
    <t>GM1773</t>
  </si>
  <si>
    <t>GM1842</t>
  </si>
  <si>
    <t>GM0762</t>
  </si>
  <si>
    <t>GM1892</t>
  </si>
  <si>
    <t>GM0109</t>
  </si>
  <si>
    <t>GM0164</t>
  </si>
  <si>
    <t>GM0866</t>
  </si>
  <si>
    <t>GM0158</t>
  </si>
  <si>
    <t>GM1621</t>
  </si>
  <si>
    <t>GM1783</t>
  </si>
  <si>
    <t>GM0392</t>
  </si>
  <si>
    <t>GM1742</t>
  </si>
  <si>
    <t>GM1700</t>
  </si>
  <si>
    <t>GM0356</t>
  </si>
  <si>
    <t>GM0246</t>
  </si>
  <si>
    <t>GM0297</t>
  </si>
  <si>
    <t>GM0638</t>
  </si>
  <si>
    <t>GM0482</t>
  </si>
  <si>
    <t>GM0384</t>
  </si>
  <si>
    <t>GM0226</t>
  </si>
  <si>
    <t>GM0424</t>
  </si>
  <si>
    <t>GM1680</t>
  </si>
  <si>
    <t>GM0355</t>
  </si>
  <si>
    <t>GM0437</t>
  </si>
  <si>
    <t>GM0457</t>
  </si>
  <si>
    <t>GM0353</t>
  </si>
  <si>
    <t>GM0893</t>
  </si>
  <si>
    <t>GM0617</t>
  </si>
  <si>
    <t>GM0758</t>
  </si>
  <si>
    <t>GM1708</t>
  </si>
  <si>
    <t>GM0707</t>
  </si>
  <si>
    <t>GM0889</t>
  </si>
  <si>
    <t>GM0826</t>
  </si>
  <si>
    <t>GM1729</t>
  </si>
  <si>
    <t>GM0451</t>
  </si>
  <si>
    <t>GM0757</t>
  </si>
  <si>
    <t>GM0173</t>
  </si>
  <si>
    <t>GM0882</t>
  </si>
  <si>
    <t>GM0402</t>
  </si>
  <si>
    <t>GM0846</t>
  </si>
  <si>
    <t>GM1598</t>
  </si>
  <si>
    <t>GM0160</t>
  </si>
  <si>
    <t>GM1669</t>
  </si>
  <si>
    <t>GM0079</t>
  </si>
  <si>
    <t>GM0606</t>
  </si>
  <si>
    <t>GM0277</t>
  </si>
  <si>
    <t>GM1701</t>
  </si>
  <si>
    <t>GM0232</t>
  </si>
  <si>
    <t>GM0080</t>
  </si>
  <si>
    <t>GM0399</t>
  </si>
  <si>
    <t>GM0820</t>
  </si>
  <si>
    <t>GM0823</t>
  </si>
  <si>
    <t>GM0363</t>
  </si>
  <si>
    <t>GM0383</t>
  </si>
  <si>
    <t>GM0962</t>
  </si>
  <si>
    <t>GM0396</t>
  </si>
  <si>
    <t>GM0935</t>
  </si>
  <si>
    <t>GM0512</t>
  </si>
  <si>
    <t>GM1659</t>
  </si>
  <si>
    <t>GM0417</t>
  </si>
  <si>
    <t>GM0425</t>
  </si>
  <si>
    <t>GM0717</t>
  </si>
  <si>
    <t>GM0168</t>
  </si>
  <si>
    <t>GM0575</t>
  </si>
  <si>
    <t>GM1734</t>
  </si>
  <si>
    <t>GM0784</t>
  </si>
  <si>
    <t>GM0090</t>
  </si>
  <si>
    <t>GM0148</t>
  </si>
  <si>
    <t>GM0743</t>
  </si>
  <si>
    <t>GM0106</t>
  </si>
  <si>
    <t>GM1876</t>
  </si>
  <si>
    <t>GM0140</t>
  </si>
  <si>
    <t>GM0983</t>
  </si>
  <si>
    <t>GM0308</t>
  </si>
  <si>
    <t>GM0119</t>
  </si>
  <si>
    <t>GM0397</t>
  </si>
  <si>
    <t>GM0824</t>
  </si>
  <si>
    <t>GM1883</t>
  </si>
  <si>
    <t>GM0230</t>
  </si>
  <si>
    <t>GM0981</t>
  </si>
  <si>
    <t>GM0489</t>
  </si>
  <si>
    <t>GM0310</t>
  </si>
  <si>
    <t>GM0744</t>
  </si>
  <si>
    <t>GM1641</t>
  </si>
  <si>
    <t>GM0303</t>
  </si>
  <si>
    <t>GM1699</t>
  </si>
  <si>
    <t>GM0597</t>
  </si>
  <si>
    <t>GM0860</t>
  </si>
  <si>
    <t>GM0393</t>
  </si>
  <si>
    <t>GM0281</t>
  </si>
  <si>
    <t>GM1658</t>
  </si>
  <si>
    <t>GM1895</t>
  </si>
  <si>
    <t>GM0225</t>
  </si>
  <si>
    <t>GM1684</t>
  </si>
  <si>
    <t>GM0141</t>
  </si>
  <si>
    <t>GM1903</t>
  </si>
  <si>
    <t>GM0642</t>
  </si>
  <si>
    <t>GM1930</t>
  </si>
  <si>
    <t>GM1771</t>
  </si>
  <si>
    <t>GM0184</t>
  </si>
  <si>
    <t>GM0088</t>
  </si>
  <si>
    <t>GM0654</t>
  </si>
  <si>
    <t>GM0772</t>
  </si>
  <si>
    <t>GM0545</t>
  </si>
  <si>
    <t>GM0014</t>
  </si>
  <si>
    <t>GM1655</t>
  </si>
  <si>
    <t>GM1904</t>
  </si>
  <si>
    <t>GM0081</t>
  </si>
  <si>
    <t>GM0196</t>
  </si>
  <si>
    <t>GM0197</t>
  </si>
  <si>
    <t>GM0473</t>
  </si>
  <si>
    <t>GM0785</t>
  </si>
  <si>
    <t>GM0037</t>
  </si>
  <si>
    <t>GM0599</t>
  </si>
  <si>
    <t>GM0879</t>
  </si>
  <si>
    <t>GM0007</t>
  </si>
  <si>
    <t>GM0236</t>
  </si>
  <si>
    <t>GM0498</t>
  </si>
  <si>
    <t>GM0620</t>
  </si>
  <si>
    <t>GM0874</t>
  </si>
  <si>
    <t>GM1955</t>
  </si>
  <si>
    <t>GM0268</t>
  </si>
  <si>
    <t>GM1525</t>
  </si>
  <si>
    <t>GM0228</t>
  </si>
  <si>
    <t>GM0603</t>
  </si>
  <si>
    <t>GM0766</t>
  </si>
  <si>
    <t>GM0074</t>
  </si>
  <si>
    <t>GM0880</t>
  </si>
  <si>
    <t>GM0715</t>
  </si>
  <si>
    <t>GM0737</t>
  </si>
  <si>
    <t>GM1507</t>
  </si>
  <si>
    <t>GM0537</t>
  </si>
  <si>
    <t>GM0798</t>
  </si>
  <si>
    <t>GM0858</t>
  </si>
  <si>
    <t>GM1731</t>
  </si>
  <si>
    <t>GM0321</t>
  </si>
  <si>
    <t>GM0262</t>
  </si>
  <si>
    <t>GM1663</t>
  </si>
  <si>
    <t>GM0377</t>
  </si>
  <si>
    <t>GM0873</t>
  </si>
  <si>
    <t>GM1924</t>
  </si>
  <si>
    <t>GM1667</t>
  </si>
  <si>
    <t>GM0327</t>
  </si>
  <si>
    <t>GM0398</t>
  </si>
  <si>
    <t>GM0302</t>
  </si>
  <si>
    <t>GM0584</t>
  </si>
  <si>
    <t>GM0637</t>
  </si>
  <si>
    <t>GM0352</t>
  </si>
  <si>
    <t>GM0946</t>
  </si>
  <si>
    <t>GM0613</t>
  </si>
  <si>
    <t>GM0513</t>
  </si>
  <si>
    <t>GM0200</t>
  </si>
  <si>
    <t>GM1705</t>
  </si>
  <si>
    <t>GM0024</t>
  </si>
  <si>
    <t>GM0542</t>
  </si>
  <si>
    <t>GM0381</t>
  </si>
  <si>
    <t>GM0786</t>
  </si>
  <si>
    <t>GM0484</t>
  </si>
  <si>
    <t>GM0048</t>
  </si>
  <si>
    <t>GM1900</t>
  </si>
  <si>
    <t>GM1927</t>
  </si>
  <si>
    <t>GM1695</t>
  </si>
  <si>
    <t>GM0072</t>
  </si>
  <si>
    <t>GM0361</t>
  </si>
  <si>
    <t>GM0171</t>
  </si>
  <si>
    <t>GM1685</t>
  </si>
  <si>
    <t>GM0847</t>
  </si>
  <si>
    <t>GM0957</t>
  </si>
  <si>
    <t>GM0017</t>
  </si>
  <si>
    <t>GM0861</t>
  </si>
  <si>
    <t>GM0556</t>
  </si>
  <si>
    <t>GM0716</t>
  </si>
  <si>
    <t>GM0547</t>
  </si>
  <si>
    <t>GM0312</t>
  </si>
  <si>
    <t>GM0163</t>
  </si>
  <si>
    <t>GM0267</t>
  </si>
  <si>
    <t>GM0416</t>
  </si>
  <si>
    <t>GM0059</t>
  </si>
  <si>
    <t>GM0252</t>
  </si>
  <si>
    <t>GM0532</t>
  </si>
  <si>
    <t>GM0677</t>
  </si>
  <si>
    <t>GM0448</t>
  </si>
  <si>
    <t>GM0531</t>
  </si>
  <si>
    <t>GM0034</t>
  </si>
  <si>
    <t>GM0611</t>
  </si>
  <si>
    <t>GM0385</t>
  </si>
  <si>
    <t>GM0590</t>
  </si>
  <si>
    <t>GM0400</t>
  </si>
  <si>
    <t>GM0502</t>
  </si>
  <si>
    <t>GM0632</t>
  </si>
  <si>
    <t>GM0777</t>
  </si>
  <si>
    <t>GM0177</t>
  </si>
  <si>
    <t>GM0928</t>
  </si>
  <si>
    <t>GM0530</t>
  </si>
  <si>
    <t>GM0733</t>
  </si>
  <si>
    <t>GM0025</t>
  </si>
  <si>
    <t>GM0431</t>
  </si>
  <si>
    <t>GM1696</t>
  </si>
  <si>
    <t>GM0881</t>
  </si>
  <si>
    <t>GM0293</t>
  </si>
  <si>
    <t>GM0995</t>
  </si>
  <si>
    <t>GM0899</t>
  </si>
  <si>
    <t>GM0738</t>
  </si>
  <si>
    <t>GM0796</t>
  </si>
  <si>
    <t>GM0809</t>
  </si>
  <si>
    <t>GM0335</t>
  </si>
  <si>
    <t>GM1706</t>
  </si>
  <si>
    <t>GM1702</t>
  </si>
  <si>
    <t>GM0093</t>
  </si>
  <si>
    <t>GM1681</t>
  </si>
  <si>
    <t>GM1735</t>
  </si>
  <si>
    <t>GM0614</t>
  </si>
  <si>
    <t>GM1724</t>
  </si>
  <si>
    <t>GM0070</t>
  </si>
  <si>
    <t>GM0848</t>
  </si>
  <si>
    <t>GM0553</t>
  </si>
  <si>
    <t>GM0629</t>
  </si>
  <si>
    <t>GM0971</t>
  </si>
  <si>
    <t>GM1711</t>
  </si>
  <si>
    <t>GM0588</t>
  </si>
  <si>
    <t>GM0534</t>
  </si>
  <si>
    <t>GM0345</t>
  </si>
  <si>
    <t>GM0415</t>
  </si>
  <si>
    <t>GM0951</t>
  </si>
  <si>
    <t>GM0406</t>
  </si>
  <si>
    <t>GM0687</t>
  </si>
  <si>
    <t>GM0523</t>
  </si>
  <si>
    <t>GM0294</t>
  </si>
  <si>
    <t>GM0579</t>
  </si>
  <si>
    <t>GM0779</t>
  </si>
  <si>
    <t>GM0505</t>
  </si>
  <si>
    <t>GM0040</t>
  </si>
  <si>
    <t>GM0244</t>
  </si>
  <si>
    <t>GM0546</t>
  </si>
  <si>
    <t>GM0984</t>
  </si>
  <si>
    <t>GM0221</t>
  </si>
  <si>
    <t>GM0147</t>
  </si>
  <si>
    <t>De Friese Meren</t>
  </si>
  <si>
    <t>Instromers / aantal inwoners</t>
  </si>
  <si>
    <t>Aantal ster 3 woningen</t>
  </si>
  <si>
    <t>Wmo-budget</t>
  </si>
  <si>
    <t>Den Haag</t>
  </si>
  <si>
    <t>s-Hertogenbosch</t>
  </si>
  <si>
    <t>Sudwest-Fryslan</t>
  </si>
  <si>
    <t>instroom</t>
  </si>
  <si>
    <t>ster3_inw</t>
  </si>
  <si>
    <t>p_65p</t>
  </si>
  <si>
    <t>aanp_kost_wmo</t>
  </si>
  <si>
    <t>wmo-budg</t>
  </si>
  <si>
    <t>2650cff3-8e50-4866-138e-05b51a9c0f4f</t>
  </si>
  <si>
    <t>% Aanpassingskosten / WMO</t>
  </si>
  <si>
    <t>Aantal 65 plussers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</si>
</sst>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1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9999FF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3" borderId="0" applyNumberFormat="0" applyBorder="0" applyAlignment="0" applyProtection="0"/>
    <xf numFmtId="9" fontId="6" fillId="0" borderId="0" applyFont="0" applyFill="0" applyBorder="0" applyAlignment="0" applyProtection="0"/>
  </cellStyleXfs>
  <cellXfs count="42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Fill="1" applyBorder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4" fillId="3" borderId="2" xfId="3" applyBorder="1"/>
    <xf numFmtId="0" fontId="4" fillId="3" borderId="3" xfId="3" applyBorder="1"/>
    <xf numFmtId="0" fontId="2" fillId="0" borderId="3" xfId="0" applyFont="1" applyBorder="1"/>
    <xf numFmtId="0" fontId="2" fillId="0" borderId="4" xfId="0" applyFont="1" applyBorder="1"/>
    <xf numFmtId="0" fontId="4" fillId="3" borderId="5" xfId="3" applyBorder="1"/>
    <xf numFmtId="0" fontId="4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5" fillId="5" borderId="0" xfId="0" applyFont="1" applyFill="1"/>
    <xf numFmtId="0" fontId="0" fillId="4" borderId="0" xfId="0" applyFont="1" applyFill="1" applyBorder="1"/>
    <xf numFmtId="0" fontId="0" fillId="0" borderId="0" xfId="0" applyFont="1" applyFill="1" applyBorder="1"/>
    <xf numFmtId="0" fontId="0" fillId="0" borderId="0" xfId="0" applyFont="1"/>
    <xf numFmtId="0" fontId="0" fillId="0" borderId="0" xfId="0" applyNumberFormat="1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vertical="top"/>
    </xf>
    <xf numFmtId="0" fontId="0" fillId="0" borderId="1" xfId="0" applyFill="1" applyBorder="1"/>
    <xf numFmtId="0" fontId="9" fillId="0" borderId="0" xfId="0" applyFont="1"/>
    <xf numFmtId="0" fontId="0" fillId="0" borderId="0" xfId="4" applyNumberFormat="1" applyFont="1"/>
    <xf numFmtId="0" fontId="5" fillId="6" borderId="0" xfId="0" applyFont="1" applyFill="1"/>
    <xf numFmtId="0" fontId="0" fillId="0" borderId="0" xfId="0" quotePrefix="1"/>
    <xf numFmtId="0" fontId="10" fillId="0" borderId="0" xfId="0" applyFont="1" applyAlignment="1">
      <alignment horizontal="center" vertical="center" wrapText="1"/>
    </xf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46F421CA-312F-682f-3DD2-61675219B42D}">
      <x14:dxfs count="4">
        <dxf>
          <fill>
            <patternFill>
              <bgColor rgb="FFFF0000"/>
            </patternFill>
          </fill>
        </dxf>
        <dxf>
          <fill>
            <patternFill>
              <bgColor rgb="FFFF0000"/>
            </patternFill>
          </fill>
        </dxf>
        <dxf>
          <fill>
            <patternFill>
              <bgColor rgb="FFFF0000"/>
            </patternFill>
          </fill>
        </dxf>
        <dxf>
          <fill>
            <patternFill>
              <bgColor rgb="FFFF000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</xdr:row>
          <xdr:rowOff>19050</xdr:rowOff>
        </xdr:from>
        <xdr:to>
          <xdr:col>3</xdr:col>
          <xdr:colOff>1447800</xdr:colOff>
          <xdr:row>3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5</xdr:row>
          <xdr:rowOff>47625</xdr:rowOff>
        </xdr:from>
        <xdr:to>
          <xdr:col>12</xdr:col>
          <xdr:colOff>1057275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1552575</xdr:colOff>
          <xdr:row>1</xdr:row>
          <xdr:rowOff>19050</xdr:rowOff>
        </xdr:from>
        <xdr:to>
          <xdr:col>4</xdr:col>
          <xdr:colOff>1057275</xdr:colOff>
          <xdr:row>3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?project=2650cff3-8e50-4866-138e-05b51a9c0f4f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8"/>
  <sheetViews>
    <sheetView tabSelected="1" topLeftCell="A7" workbookViewId="0">
      <selection activeCell="C34" sqref="C34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31.140625" customWidth="1"/>
    <col min="5" max="5" width="17.7109375" customWidth="1"/>
    <col min="6" max="6" width="12.28515625" customWidth="1"/>
    <col min="7" max="7" width="13.42578125" customWidth="1"/>
    <col min="8" max="8" width="19.7109375" customWidth="1"/>
    <col min="9" max="9" width="16.28515625" customWidth="1"/>
    <col min="10" max="10" width="11.85546875" customWidth="1"/>
    <col min="11" max="11" width="7.7109375" bestFit="1" customWidth="1"/>
    <col min="12" max="12" width="10.5703125" bestFit="1" customWidth="1"/>
    <col min="13" max="13" width="17.7109375" bestFit="1" customWidth="1"/>
    <col min="14" max="16" width="11.28515625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1" spans="1:21" ht="14.45" x14ac:dyDescent="0.3">
      <c r="A1" s="32" t="s">
        <v>121</v>
      </c>
    </row>
    <row r="2" spans="1:21" ht="14.45" x14ac:dyDescent="0.3">
      <c r="A2" s="2" t="s">
        <v>41</v>
      </c>
      <c r="B2" s="2"/>
      <c r="K2" s="37"/>
      <c r="U2" t="s">
        <v>56</v>
      </c>
    </row>
    <row r="3" spans="1:21" x14ac:dyDescent="0.25">
      <c r="A3" s="7" t="s">
        <v>91</v>
      </c>
    </row>
    <row r="4" spans="1:21" x14ac:dyDescent="0.25">
      <c r="A4" s="2" t="s">
        <v>90</v>
      </c>
      <c r="B4" s="2"/>
      <c r="K4" s="41" t="s">
        <v>120</v>
      </c>
      <c r="L4" s="41"/>
      <c r="M4" s="41"/>
    </row>
    <row r="5" spans="1:21" x14ac:dyDescent="0.25">
      <c r="A5" t="s">
        <v>943</v>
      </c>
      <c r="K5" s="41"/>
      <c r="L5" s="41"/>
      <c r="M5" s="41"/>
    </row>
    <row r="7" spans="1:21" s="36" customFormat="1" ht="14.45" x14ac:dyDescent="0.3"/>
    <row r="8" spans="1:21" s="1" customFormat="1" x14ac:dyDescent="0.25">
      <c r="A8" s="2" t="s">
        <v>39</v>
      </c>
      <c r="B8" s="2" t="s">
        <v>29</v>
      </c>
      <c r="C8" s="2" t="s">
        <v>40</v>
      </c>
      <c r="D8" s="2" t="s">
        <v>1</v>
      </c>
      <c r="E8" s="2" t="s">
        <v>67</v>
      </c>
      <c r="F8" s="2" t="s">
        <v>51</v>
      </c>
      <c r="G8" s="2" t="s">
        <v>34</v>
      </c>
      <c r="H8" s="2" t="s">
        <v>33</v>
      </c>
      <c r="I8" s="2" t="s">
        <v>32</v>
      </c>
      <c r="J8" s="2" t="s">
        <v>35</v>
      </c>
      <c r="K8" s="2" t="s">
        <v>36</v>
      </c>
      <c r="L8" s="2" t="s">
        <v>37</v>
      </c>
      <c r="M8" s="2" t="s">
        <v>69</v>
      </c>
      <c r="N8" s="2" t="s">
        <v>38</v>
      </c>
    </row>
    <row r="9" spans="1:21" ht="14.45" customHeight="1" x14ac:dyDescent="0.25">
      <c r="A9" t="s">
        <v>527</v>
      </c>
      <c r="B9" t="s">
        <v>529</v>
      </c>
      <c r="C9" t="s">
        <v>527</v>
      </c>
      <c r="D9" t="s">
        <v>528</v>
      </c>
      <c r="E9" t="s">
        <v>530</v>
      </c>
      <c r="F9" t="s">
        <v>135</v>
      </c>
      <c r="G9" s="38">
        <v>100</v>
      </c>
      <c r="H9" t="s">
        <v>94</v>
      </c>
      <c r="I9" t="s">
        <v>527</v>
      </c>
      <c r="J9">
        <v>24</v>
      </c>
      <c r="K9" s="39" t="s">
        <v>531</v>
      </c>
      <c r="L9" s="29" t="s">
        <v>532</v>
      </c>
      <c r="M9" s="29" t="s">
        <v>74</v>
      </c>
      <c r="N9">
        <v>2</v>
      </c>
    </row>
    <row r="11" spans="1:21" ht="14.45" x14ac:dyDescent="0.3">
      <c r="A11" s="2" t="s">
        <v>30</v>
      </c>
      <c r="B11" s="2" t="s">
        <v>31</v>
      </c>
      <c r="C11" s="2" t="s">
        <v>55</v>
      </c>
      <c r="D11" s="2" t="s">
        <v>5</v>
      </c>
      <c r="E11" s="2" t="str">
        <f>LOOKUP(Layer!$D$12,Helpers!$A$1:$A$23,Helpers!$B$1:$B$23)</f>
        <v>Gemeentenaam</v>
      </c>
      <c r="F11" s="2" t="str">
        <f>LOOKUP(Layer!$D$12,Helpers!$A$1:$A$23,Helpers!$C$1:$C$23)</f>
        <v>-</v>
      </c>
      <c r="G11" s="2" t="str">
        <f>LOOKUP(Layer!$D$12,Helpers!$A$1:$A$23,Helpers!$D$1:$D$23)</f>
        <v>-</v>
      </c>
      <c r="H11" s="2" t="str">
        <f>LOOKUP(Layer!$D$12,Helpers!$A$1:$A$23,Helpers!$E$1:$E$23)</f>
        <v>-</v>
      </c>
      <c r="I11" s="2" t="s">
        <v>53</v>
      </c>
    </row>
    <row r="12" spans="1:21" ht="14.45" x14ac:dyDescent="0.3">
      <c r="A12" t="b">
        <v>1</v>
      </c>
      <c r="B12" t="b">
        <v>0</v>
      </c>
      <c r="C12">
        <v>12</v>
      </c>
      <c r="D12" t="s">
        <v>533</v>
      </c>
      <c r="E12" t="s">
        <v>135</v>
      </c>
      <c r="I12" s="8" t="b">
        <v>0</v>
      </c>
    </row>
    <row r="14" spans="1:21" s="10" customFormat="1" ht="14.45" x14ac:dyDescent="0.3"/>
    <row r="15" spans="1:21" ht="14.45" x14ac:dyDescent="0.3">
      <c r="A15" s="2" t="s">
        <v>42</v>
      </c>
      <c r="B15" s="2" t="s">
        <v>0</v>
      </c>
      <c r="C15" s="2" t="s">
        <v>52</v>
      </c>
      <c r="D15" s="2" t="s">
        <v>1</v>
      </c>
      <c r="E15" s="2" t="s">
        <v>46</v>
      </c>
      <c r="F15" s="2" t="s">
        <v>4</v>
      </c>
      <c r="G15" s="2" t="s">
        <v>24</v>
      </c>
      <c r="H15" s="5" t="s">
        <v>25</v>
      </c>
      <c r="I15" s="6" t="s">
        <v>26</v>
      </c>
      <c r="J15" s="2" t="s">
        <v>63</v>
      </c>
      <c r="K15" s="2" t="s">
        <v>59</v>
      </c>
      <c r="L15" s="2" t="s">
        <v>83</v>
      </c>
      <c r="M15" s="2" t="s">
        <v>84</v>
      </c>
    </row>
    <row r="16" spans="1:21" ht="14.45" x14ac:dyDescent="0.3">
      <c r="A16" t="s">
        <v>122</v>
      </c>
      <c r="C16" t="s">
        <v>122</v>
      </c>
      <c r="E16" t="s">
        <v>2</v>
      </c>
      <c r="H16" s="3"/>
      <c r="I16" s="4"/>
      <c r="J16" t="b">
        <v>1</v>
      </c>
      <c r="K16" t="b">
        <v>1</v>
      </c>
    </row>
    <row r="17" spans="1:25" ht="14.45" x14ac:dyDescent="0.3">
      <c r="A17" t="s">
        <v>123</v>
      </c>
      <c r="C17" t="s">
        <v>123</v>
      </c>
      <c r="E17" t="s">
        <v>2</v>
      </c>
      <c r="H17" s="3"/>
      <c r="I17" s="4"/>
      <c r="J17" t="b">
        <v>1</v>
      </c>
      <c r="K17" t="b">
        <v>1</v>
      </c>
      <c r="Y17" s="12"/>
    </row>
    <row r="18" spans="1:25" ht="14.45" x14ac:dyDescent="0.3">
      <c r="A18" t="s">
        <v>124</v>
      </c>
      <c r="C18" t="s">
        <v>124</v>
      </c>
      <c r="E18" t="s">
        <v>2</v>
      </c>
      <c r="H18" s="3"/>
      <c r="I18" s="4"/>
      <c r="J18" t="b">
        <v>1</v>
      </c>
      <c r="K18" t="b">
        <v>1</v>
      </c>
    </row>
    <row r="19" spans="1:25" ht="14.45" x14ac:dyDescent="0.3">
      <c r="A19" t="s">
        <v>125</v>
      </c>
      <c r="C19" t="s">
        <v>125</v>
      </c>
      <c r="E19" t="s">
        <v>2</v>
      </c>
      <c r="H19" s="3"/>
      <c r="I19" s="4"/>
      <c r="J19" t="b">
        <v>1</v>
      </c>
      <c r="K19" t="b">
        <v>1</v>
      </c>
    </row>
    <row r="20" spans="1:25" ht="14.45" x14ac:dyDescent="0.3">
      <c r="A20" t="s">
        <v>126</v>
      </c>
      <c r="C20" t="s">
        <v>126</v>
      </c>
      <c r="E20" t="s">
        <v>2</v>
      </c>
      <c r="H20" s="3"/>
      <c r="I20" s="4"/>
      <c r="J20" t="b">
        <v>1</v>
      </c>
      <c r="K20" t="b">
        <v>1</v>
      </c>
    </row>
    <row r="21" spans="1:25" ht="14.45" x14ac:dyDescent="0.3">
      <c r="A21" t="s">
        <v>127</v>
      </c>
      <c r="C21" t="s">
        <v>127</v>
      </c>
      <c r="E21" t="s">
        <v>2</v>
      </c>
      <c r="H21" s="3"/>
      <c r="I21" s="4"/>
      <c r="J21" t="b">
        <v>1</v>
      </c>
      <c r="K21" t="b">
        <v>1</v>
      </c>
    </row>
    <row r="22" spans="1:25" ht="14.45" x14ac:dyDescent="0.3">
      <c r="A22" t="s">
        <v>128</v>
      </c>
      <c r="C22" t="s">
        <v>128</v>
      </c>
      <c r="E22" t="s">
        <v>2</v>
      </c>
      <c r="H22" s="3"/>
      <c r="I22" s="4"/>
      <c r="J22" t="b">
        <v>1</v>
      </c>
      <c r="K22" t="b">
        <v>1</v>
      </c>
    </row>
    <row r="23" spans="1:25" ht="14.45" x14ac:dyDescent="0.3">
      <c r="A23" t="s">
        <v>537</v>
      </c>
      <c r="C23" t="s">
        <v>537</v>
      </c>
      <c r="E23" t="s">
        <v>2</v>
      </c>
      <c r="H23" s="3"/>
      <c r="I23" s="4"/>
      <c r="J23" t="b">
        <v>1</v>
      </c>
      <c r="K23" t="b">
        <v>1</v>
      </c>
    </row>
    <row r="24" spans="1:25" ht="14.45" x14ac:dyDescent="0.3">
      <c r="A24" t="s">
        <v>129</v>
      </c>
      <c r="C24" t="s">
        <v>129</v>
      </c>
      <c r="E24" t="s">
        <v>2</v>
      </c>
      <c r="H24" s="3"/>
      <c r="I24" s="4"/>
      <c r="J24" t="b">
        <v>1</v>
      </c>
      <c r="K24" t="b">
        <v>1</v>
      </c>
    </row>
    <row r="25" spans="1:25" ht="14.45" x14ac:dyDescent="0.3">
      <c r="A25" t="s">
        <v>130</v>
      </c>
      <c r="C25" t="s">
        <v>130</v>
      </c>
      <c r="E25" t="s">
        <v>2</v>
      </c>
      <c r="H25" s="3"/>
      <c r="I25" s="4"/>
      <c r="J25" t="b">
        <v>1</v>
      </c>
      <c r="K25" t="b">
        <v>1</v>
      </c>
    </row>
    <row r="26" spans="1:25" ht="14.45" x14ac:dyDescent="0.3">
      <c r="A26" t="s">
        <v>131</v>
      </c>
      <c r="C26" t="s">
        <v>131</v>
      </c>
      <c r="E26" t="s">
        <v>2</v>
      </c>
      <c r="H26" s="3"/>
      <c r="I26" s="4"/>
      <c r="J26" t="b">
        <v>1</v>
      </c>
      <c r="K26" t="b">
        <v>1</v>
      </c>
    </row>
    <row r="27" spans="1:25" ht="14.45" x14ac:dyDescent="0.3">
      <c r="A27" t="s">
        <v>132</v>
      </c>
      <c r="C27" t="s">
        <v>132</v>
      </c>
      <c r="E27" t="s">
        <v>2</v>
      </c>
      <c r="H27" s="3"/>
      <c r="I27" s="4"/>
      <c r="J27" t="b">
        <v>1</v>
      </c>
      <c r="K27" t="b">
        <v>1</v>
      </c>
    </row>
    <row r="28" spans="1:25" ht="14.45" x14ac:dyDescent="0.3">
      <c r="A28" t="s">
        <v>133</v>
      </c>
      <c r="C28" t="s">
        <v>133</v>
      </c>
      <c r="E28" t="s">
        <v>2</v>
      </c>
      <c r="H28" s="3"/>
      <c r="I28" s="4"/>
      <c r="J28" t="b">
        <v>1</v>
      </c>
      <c r="K28" t="b">
        <v>1</v>
      </c>
    </row>
    <row r="29" spans="1:25" x14ac:dyDescent="0.25">
      <c r="A29" t="s">
        <v>134</v>
      </c>
      <c r="C29" t="s">
        <v>134</v>
      </c>
      <c r="E29" t="s">
        <v>2</v>
      </c>
      <c r="H29" s="3"/>
      <c r="I29" s="4"/>
      <c r="J29" t="b">
        <v>1</v>
      </c>
      <c r="K29" t="b">
        <v>1</v>
      </c>
    </row>
    <row r="30" spans="1:25" x14ac:dyDescent="0.25">
      <c r="A30" t="s">
        <v>534</v>
      </c>
      <c r="C30" t="s">
        <v>534</v>
      </c>
      <c r="E30" t="s">
        <v>3</v>
      </c>
      <c r="H30" s="3"/>
      <c r="I30" s="4"/>
      <c r="J30" t="b">
        <v>1</v>
      </c>
      <c r="K30" t="b">
        <v>1</v>
      </c>
    </row>
    <row r="31" spans="1:25" x14ac:dyDescent="0.25">
      <c r="A31" t="s">
        <v>135</v>
      </c>
      <c r="C31" t="s">
        <v>87</v>
      </c>
      <c r="E31" t="s">
        <v>3</v>
      </c>
      <c r="H31" s="3"/>
      <c r="I31" s="4"/>
      <c r="J31" t="b">
        <v>1</v>
      </c>
      <c r="K31" t="b">
        <v>1</v>
      </c>
    </row>
    <row r="32" spans="1:25" x14ac:dyDescent="0.25">
      <c r="A32" t="s">
        <v>535</v>
      </c>
      <c r="C32" t="s">
        <v>535</v>
      </c>
      <c r="E32" t="s">
        <v>2</v>
      </c>
      <c r="H32" s="3"/>
      <c r="I32" s="4"/>
      <c r="J32" t="b">
        <v>1</v>
      </c>
      <c r="K32" t="b">
        <v>1</v>
      </c>
    </row>
    <row r="33" spans="1:10" x14ac:dyDescent="0.25">
      <c r="A33" t="s">
        <v>938</v>
      </c>
      <c r="C33" t="s">
        <v>932</v>
      </c>
      <c r="E33" t="s">
        <v>2</v>
      </c>
      <c r="H33" s="3"/>
      <c r="I33" s="4"/>
      <c r="J33" t="b">
        <v>1</v>
      </c>
    </row>
    <row r="34" spans="1:10" x14ac:dyDescent="0.25">
      <c r="A34" t="s">
        <v>939</v>
      </c>
      <c r="C34" t="s">
        <v>933</v>
      </c>
      <c r="E34" t="s">
        <v>2</v>
      </c>
      <c r="H34" s="3"/>
      <c r="I34" s="4"/>
      <c r="J34" t="b">
        <v>1</v>
      </c>
    </row>
    <row r="35" spans="1:10" x14ac:dyDescent="0.25">
      <c r="A35" t="s">
        <v>941</v>
      </c>
      <c r="C35" t="s">
        <v>944</v>
      </c>
      <c r="E35" t="s">
        <v>2</v>
      </c>
      <c r="H35" s="3"/>
      <c r="I35" s="4"/>
      <c r="J35" t="b">
        <v>1</v>
      </c>
    </row>
    <row r="36" spans="1:10" x14ac:dyDescent="0.25">
      <c r="A36" t="s">
        <v>942</v>
      </c>
      <c r="C36" t="s">
        <v>934</v>
      </c>
      <c r="E36" t="s">
        <v>2</v>
      </c>
      <c r="H36" s="3"/>
      <c r="I36" s="4"/>
      <c r="J36" t="b">
        <v>1</v>
      </c>
    </row>
    <row r="37" spans="1:10" x14ac:dyDescent="0.25">
      <c r="A37" t="s">
        <v>940</v>
      </c>
      <c r="C37" t="s">
        <v>945</v>
      </c>
      <c r="E37" t="s">
        <v>2</v>
      </c>
      <c r="H37" s="3"/>
      <c r="I37" s="4"/>
      <c r="J37" t="b">
        <v>1</v>
      </c>
    </row>
    <row r="38" spans="1:10" x14ac:dyDescent="0.25">
      <c r="H38" s="3"/>
      <c r="I38" s="4"/>
    </row>
    <row r="39" spans="1:10" x14ac:dyDescent="0.25">
      <c r="H39" s="3"/>
      <c r="I39" s="4"/>
    </row>
    <row r="40" spans="1:10" x14ac:dyDescent="0.25">
      <c r="H40" s="3"/>
      <c r="I40" s="4"/>
    </row>
    <row r="41" spans="1:10" x14ac:dyDescent="0.25">
      <c r="H41" s="3"/>
      <c r="I41" s="4"/>
    </row>
    <row r="42" spans="1:10" x14ac:dyDescent="0.25">
      <c r="H42" s="3"/>
      <c r="I42" s="4"/>
    </row>
    <row r="43" spans="1:10" x14ac:dyDescent="0.25">
      <c r="H43" s="3"/>
      <c r="I43" s="4"/>
    </row>
    <row r="44" spans="1:10" x14ac:dyDescent="0.25">
      <c r="H44" s="3"/>
      <c r="I44" s="4"/>
    </row>
    <row r="45" spans="1:10" x14ac:dyDescent="0.25">
      <c r="H45" s="3"/>
      <c r="I45" s="4"/>
    </row>
    <row r="46" spans="1:10" x14ac:dyDescent="0.25">
      <c r="H46" s="3"/>
      <c r="I46" s="4"/>
    </row>
    <row r="47" spans="1:10" x14ac:dyDescent="0.25">
      <c r="H47" s="3"/>
      <c r="I47" s="4"/>
    </row>
    <row r="48" spans="1:10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  <row r="432" spans="8:9" x14ac:dyDescent="0.25">
      <c r="H432" s="3"/>
      <c r="I432" s="4"/>
    </row>
    <row r="433" spans="8:9" x14ac:dyDescent="0.25">
      <c r="H433" s="3"/>
      <c r="I433" s="4"/>
    </row>
    <row r="434" spans="8:9" x14ac:dyDescent="0.25">
      <c r="H434" s="3"/>
      <c r="I434" s="4"/>
    </row>
    <row r="435" spans="8:9" x14ac:dyDescent="0.25">
      <c r="H435" s="3"/>
      <c r="I435" s="4"/>
    </row>
    <row r="436" spans="8:9" x14ac:dyDescent="0.25">
      <c r="H436" s="3"/>
      <c r="I436" s="4"/>
    </row>
    <row r="437" spans="8:9" x14ac:dyDescent="0.25">
      <c r="H437" s="3"/>
      <c r="I437" s="4"/>
    </row>
    <row r="438" spans="8:9" x14ac:dyDescent="0.25">
      <c r="H438" s="3"/>
      <c r="I438" s="4"/>
    </row>
  </sheetData>
  <dataConsolidate/>
  <mergeCells count="1">
    <mergeCell ref="K4:M5"/>
  </mergeCells>
  <dataValidations xWindow="1255" yWindow="316" count="34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E12:H12 G16:G50 F9 A16:A37 A39:A378">
      <formula1>HEADERS</formula1>
    </dataValidation>
    <dataValidation type="list" allowBlank="1" showInputMessage="1" showErrorMessage="1" sqref="E16:E428">
      <formula1>HELPER_PropertyType</formula1>
    </dataValidation>
    <dataValidation type="list" allowBlank="1" showInputMessage="1" sqref="F16:F436">
      <formula1>HELPER_StringFormats</formula1>
    </dataValidation>
    <dataValidation type="list" allowBlank="1" showInputMessage="1" showErrorMessage="1" sqref="E429:E438">
      <formula1>$C$3:$C$26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H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  <dataValidation type="list" allowBlank="1" showInputMessage="1" showErrorMessage="1" promptTitle="True or false" sqref="I12 A12:B12">
      <formula1>BooleanList</formula1>
    </dataValidation>
    <dataValidation type="list" allowBlank="1" showInputMessage="1" sqref="H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D8"/>
    <dataValidation allowBlank="1" showInputMessage="1" showErrorMessage="1" promptTitle="Icon size" prompt="Dimensions of the icon in pixels (suggested range [16-48])" sqref="J8"/>
    <dataValidation allowBlank="1" showInputMessage="1" showErrorMessage="1" promptTitle="Fill color" prompt="Color that is used to fill the background of an icon or area." sqref="K8"/>
    <dataValidation allowBlank="1" showInputMessage="1" showErrorMessage="1" promptTitle="Stroke color" prompt="Color that is used for the border of an icon or area." sqref="L8"/>
    <dataValidation allowBlank="1" showInputMessage="1" showErrorMessage="1" promptTitle="Selected stroke color" prompt="Color that is used for the border of an icon or area when it is selected." sqref="M8"/>
    <dataValidation allowBlank="1" showInputMessage="1" showErrorMessage="1" promptTitle="Border width" prompt="Width of the border of an icon or area (suggested range [0-5])" sqref="N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6:K430">
      <formula1>BooleanList</formula1>
    </dataValidation>
  </dataValidations>
  <hyperlinks>
    <hyperlink ref="A3" r:id="rId1" tooltip="http://localhost:3002/?project=2650cff3-8e50-4866-138e-05b51a9c0f4f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2</xdr:col>
                    <xdr:colOff>419100</xdr:colOff>
                    <xdr:row>1</xdr:row>
                    <xdr:rowOff>19050</xdr:rowOff>
                  </from>
                  <to>
                    <xdr:col>3</xdr:col>
                    <xdr:colOff>1447800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104775</xdr:colOff>
                    <xdr:row>5</xdr:row>
                    <xdr:rowOff>47625</xdr:rowOff>
                  </from>
                  <to>
                    <xdr:col>12</xdr:col>
                    <xdr:colOff>1057275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3</xdr:col>
                    <xdr:colOff>1552575</xdr:colOff>
                    <xdr:row>1</xdr:row>
                    <xdr:rowOff>19050</xdr:rowOff>
                  </from>
                  <to>
                    <xdr:col>4</xdr:col>
                    <xdr:colOff>1057275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3">
        <x14:dataValidation type="list" allowBlank="1" showInputMessage="1" showErrorMessage="1" promptTitle="Select a property">
          <x14:formula1>
            <xm:f>Data!#REF!</xm:f>
          </x14:formula1>
          <xm:sqref>A379:A438</xm:sqref>
        </x14:dataValidation>
        <x14:dataValidation type="list" allowBlank="1" showInputMessage="1" showErrorMessage="1">
          <x14:formula1>
            <xm:f>Helpers!$F$2:$F$3</xm:f>
          </x14:formula1>
          <xm:sqref>J431:J438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29"/>
  <sheetViews>
    <sheetView workbookViewId="0">
      <selection activeCell="F21" sqref="F21"/>
    </sheetView>
  </sheetViews>
  <sheetFormatPr defaultRowHeight="15" x14ac:dyDescent="0.25"/>
  <cols>
    <col min="1" max="1" width="46.140625" bestFit="1" customWidth="1"/>
    <col min="2" max="2" width="17" bestFit="1" customWidth="1"/>
    <col min="3" max="3" width="11.28515625" bestFit="1" customWidth="1"/>
    <col min="4" max="4" width="8.85546875" bestFit="1" customWidth="1"/>
    <col min="5" max="5" width="10.28515625" bestFit="1" customWidth="1"/>
    <col min="6" max="6" width="10.5703125" bestFit="1" customWidth="1"/>
    <col min="7" max="7" width="11.85546875" bestFit="1" customWidth="1"/>
    <col min="8" max="8" width="23.85546875" customWidth="1"/>
    <col min="9" max="9" width="11.85546875" customWidth="1"/>
    <col min="10" max="10" width="31.28515625" customWidth="1"/>
    <col min="12" max="12" width="14.140625" customWidth="1"/>
    <col min="13" max="13" width="26.28515625" customWidth="1"/>
    <col min="14" max="14" width="14.85546875" customWidth="1"/>
    <col min="16" max="16" width="6.5703125" customWidth="1"/>
    <col min="17" max="17" width="2.85546875" customWidth="1"/>
  </cols>
  <sheetData>
    <row r="1" spans="1:45" s="1" customFormat="1" x14ac:dyDescent="0.25">
      <c r="A1" s="1" t="s">
        <v>9</v>
      </c>
      <c r="B1" s="1" t="s">
        <v>114</v>
      </c>
      <c r="C1" s="1" t="s">
        <v>115</v>
      </c>
      <c r="D1" s="1" t="s">
        <v>116</v>
      </c>
      <c r="E1" s="1" t="s">
        <v>117</v>
      </c>
      <c r="F1" s="1" t="s">
        <v>23</v>
      </c>
      <c r="G1" s="1" t="s">
        <v>27</v>
      </c>
      <c r="H1" s="1" t="s">
        <v>4</v>
      </c>
      <c r="I1" s="1" t="s">
        <v>71</v>
      </c>
      <c r="J1" s="1" t="s">
        <v>93</v>
      </c>
      <c r="L1" s="1" t="s">
        <v>85</v>
      </c>
      <c r="M1" s="1" t="s">
        <v>89</v>
      </c>
      <c r="N1" s="1" t="s">
        <v>41</v>
      </c>
      <c r="R1" s="13" t="s">
        <v>60</v>
      </c>
      <c r="S1" s="14" t="s">
        <v>61</v>
      </c>
      <c r="T1" s="14" t="s">
        <v>62</v>
      </c>
      <c r="U1" s="14" t="s">
        <v>60</v>
      </c>
      <c r="V1" s="14" t="s">
        <v>61</v>
      </c>
      <c r="W1" s="14" t="s">
        <v>62</v>
      </c>
      <c r="X1" s="14" t="s">
        <v>60</v>
      </c>
      <c r="Y1" s="14" t="s">
        <v>61</v>
      </c>
      <c r="Z1" s="14" t="s">
        <v>62</v>
      </c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6"/>
    </row>
    <row r="2" spans="1:45" x14ac:dyDescent="0.25">
      <c r="A2" t="s">
        <v>44</v>
      </c>
      <c r="B2" t="s">
        <v>96</v>
      </c>
      <c r="C2" t="s">
        <v>97</v>
      </c>
      <c r="D2" t="s">
        <v>97</v>
      </c>
      <c r="E2" t="s">
        <v>97</v>
      </c>
      <c r="F2" t="b">
        <v>1</v>
      </c>
      <c r="G2" t="s">
        <v>3</v>
      </c>
      <c r="H2" t="s">
        <v>68</v>
      </c>
      <c r="I2" t="s">
        <v>75</v>
      </c>
      <c r="J2" t="s">
        <v>94</v>
      </c>
      <c r="L2">
        <v>0</v>
      </c>
      <c r="M2" s="7" t="s">
        <v>91</v>
      </c>
      <c r="N2" t="s">
        <v>92</v>
      </c>
      <c r="R2" s="17">
        <f>HEX2DEC(MID(Layer!$K$9,2,2))</f>
        <v>153</v>
      </c>
      <c r="S2" s="18">
        <f>HEX2DEC(MID(Layer!$K$9,4,2))</f>
        <v>153</v>
      </c>
      <c r="T2" s="18">
        <f>HEX2DEC(MID(Layer!$K$9,6,2))</f>
        <v>255</v>
      </c>
      <c r="U2" s="18">
        <f>HEX2DEC(MID(Layer!$L$9,2,2))</f>
        <v>0</v>
      </c>
      <c r="V2" s="18">
        <f>HEX2DEC(MID(Layer!$L$9,4,2))</f>
        <v>0</v>
      </c>
      <c r="W2" s="18">
        <f>HEX2DEC(MID(Layer!$L$9,6,2))</f>
        <v>255</v>
      </c>
      <c r="X2" s="18">
        <f>HEX2DEC(MID(Layer!$M$9,2,2))</f>
        <v>0</v>
      </c>
      <c r="Y2" s="18">
        <f>HEX2DEC(MID(Layer!$M$9,4,2))</f>
        <v>0</v>
      </c>
      <c r="Z2" s="18">
        <f>HEX2DEC(MID(Layer!$M$9,6,2))</f>
        <v>255</v>
      </c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20"/>
    </row>
    <row r="3" spans="1:45" x14ac:dyDescent="0.25">
      <c r="A3" t="s">
        <v>45</v>
      </c>
      <c r="B3" t="s">
        <v>118</v>
      </c>
      <c r="C3" t="s">
        <v>97</v>
      </c>
      <c r="D3" t="s">
        <v>97</v>
      </c>
      <c r="E3" t="s">
        <v>97</v>
      </c>
      <c r="F3" t="b">
        <v>0</v>
      </c>
      <c r="G3" t="s">
        <v>2</v>
      </c>
      <c r="H3" t="s">
        <v>47</v>
      </c>
      <c r="I3" t="s">
        <v>76</v>
      </c>
      <c r="J3" t="s">
        <v>95</v>
      </c>
      <c r="N3" s="12"/>
      <c r="O3" s="12"/>
      <c r="P3" s="12"/>
      <c r="Q3" s="12"/>
      <c r="R3" s="21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9"/>
      <c r="AI3" s="9"/>
      <c r="AJ3" s="9"/>
      <c r="AK3" s="9"/>
      <c r="AL3" s="9"/>
      <c r="AM3" s="9"/>
      <c r="AN3" s="9"/>
      <c r="AO3" s="9"/>
      <c r="AP3" s="9"/>
      <c r="AQ3" s="22"/>
      <c r="AR3" s="12"/>
      <c r="AS3" s="12"/>
    </row>
    <row r="4" spans="1:45" x14ac:dyDescent="0.25">
      <c r="A4" t="s">
        <v>22</v>
      </c>
      <c r="B4" t="s">
        <v>98</v>
      </c>
      <c r="C4" t="s">
        <v>97</v>
      </c>
      <c r="D4" t="s">
        <v>97</v>
      </c>
      <c r="E4" t="s">
        <v>97</v>
      </c>
      <c r="G4" t="s">
        <v>28</v>
      </c>
      <c r="H4" t="s">
        <v>48</v>
      </c>
      <c r="I4" t="s">
        <v>77</v>
      </c>
      <c r="N4" s="11"/>
      <c r="O4" s="11"/>
      <c r="P4" s="11"/>
      <c r="Q4" s="12"/>
      <c r="R4" s="2" t="s">
        <v>39</v>
      </c>
      <c r="S4" s="2" t="s">
        <v>29</v>
      </c>
      <c r="T4" s="2" t="s">
        <v>40</v>
      </c>
      <c r="U4" s="2" t="s">
        <v>1</v>
      </c>
      <c r="V4" s="2" t="s">
        <v>67</v>
      </c>
      <c r="W4" s="2" t="s">
        <v>51</v>
      </c>
      <c r="X4" s="2" t="s">
        <v>34</v>
      </c>
      <c r="Y4" s="2" t="s">
        <v>33</v>
      </c>
      <c r="Z4" s="2" t="s">
        <v>32</v>
      </c>
      <c r="AA4" s="2" t="s">
        <v>35</v>
      </c>
      <c r="AB4" s="2" t="s">
        <v>36</v>
      </c>
      <c r="AC4" s="2" t="s">
        <v>37</v>
      </c>
      <c r="AD4" s="2" t="s">
        <v>69</v>
      </c>
      <c r="AE4" s="2" t="s">
        <v>38</v>
      </c>
      <c r="AF4" s="2" t="s">
        <v>30</v>
      </c>
      <c r="AG4" s="2" t="s">
        <v>31</v>
      </c>
      <c r="AH4" s="2" t="s">
        <v>55</v>
      </c>
      <c r="AI4" s="2" t="s">
        <v>5</v>
      </c>
      <c r="AJ4" s="2" t="s">
        <v>6</v>
      </c>
      <c r="AK4" s="2" t="s">
        <v>7</v>
      </c>
      <c r="AL4" s="2" t="s">
        <v>8</v>
      </c>
      <c r="AM4" s="2" t="s">
        <v>119</v>
      </c>
      <c r="AN4" s="2" t="s">
        <v>53</v>
      </c>
      <c r="AO4" s="23"/>
      <c r="AP4" s="23"/>
      <c r="AQ4" s="22"/>
      <c r="AR4" s="12"/>
      <c r="AS4" s="12"/>
    </row>
    <row r="5" spans="1:45" ht="14.45" x14ac:dyDescent="0.3">
      <c r="A5" t="s">
        <v>19</v>
      </c>
      <c r="B5" t="s">
        <v>99</v>
      </c>
      <c r="C5" t="s">
        <v>97</v>
      </c>
      <c r="D5" t="s">
        <v>97</v>
      </c>
      <c r="E5" t="s">
        <v>97</v>
      </c>
      <c r="G5" t="s">
        <v>54</v>
      </c>
      <c r="H5" t="s">
        <v>49</v>
      </c>
      <c r="I5" t="s">
        <v>73</v>
      </c>
      <c r="N5" s="12"/>
      <c r="O5" s="12"/>
      <c r="P5" s="12"/>
      <c r="Q5" s="12"/>
      <c r="R5" t="s">
        <v>527</v>
      </c>
      <c r="S5" t="s">
        <v>529</v>
      </c>
      <c r="T5" t="s">
        <v>527</v>
      </c>
      <c r="U5" t="s">
        <v>528</v>
      </c>
      <c r="V5" t="s">
        <v>530</v>
      </c>
      <c r="W5" t="s">
        <v>135</v>
      </c>
      <c r="X5" s="38">
        <v>100</v>
      </c>
      <c r="Y5" t="s">
        <v>94</v>
      </c>
      <c r="Z5" t="s">
        <v>527</v>
      </c>
      <c r="AA5">
        <v>24</v>
      </c>
      <c r="AB5" s="39" t="s">
        <v>531</v>
      </c>
      <c r="AC5" s="29" t="s">
        <v>532</v>
      </c>
      <c r="AD5" s="29" t="s">
        <v>74</v>
      </c>
      <c r="AE5">
        <v>2</v>
      </c>
      <c r="AF5" t="b">
        <v>1</v>
      </c>
      <c r="AG5" t="b">
        <v>0</v>
      </c>
      <c r="AH5">
        <v>12</v>
      </c>
      <c r="AI5" t="s">
        <v>533</v>
      </c>
      <c r="AJ5" t="s">
        <v>135</v>
      </c>
      <c r="AN5" s="8" t="b">
        <v>0</v>
      </c>
      <c r="AO5" s="9"/>
      <c r="AP5" s="24"/>
      <c r="AQ5" s="22"/>
      <c r="AR5" s="12"/>
      <c r="AS5" s="12"/>
    </row>
    <row r="6" spans="1:45" thickBot="1" x14ac:dyDescent="0.35">
      <c r="A6" t="s">
        <v>21</v>
      </c>
      <c r="B6" t="s">
        <v>100</v>
      </c>
      <c r="C6" t="s">
        <v>97</v>
      </c>
      <c r="D6" t="s">
        <v>97</v>
      </c>
      <c r="E6" t="s">
        <v>97</v>
      </c>
      <c r="G6" t="s">
        <v>70</v>
      </c>
      <c r="H6" t="s">
        <v>50</v>
      </c>
      <c r="I6" t="s">
        <v>78</v>
      </c>
      <c r="N6" s="12"/>
      <c r="O6" s="12"/>
      <c r="P6" s="12"/>
      <c r="Q6" s="12"/>
      <c r="R6" s="25"/>
      <c r="S6" s="26"/>
      <c r="T6" s="26"/>
      <c r="U6" s="26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8"/>
      <c r="AR6" s="12"/>
      <c r="AS6" s="12"/>
    </row>
    <row r="7" spans="1:45" ht="14.45" x14ac:dyDescent="0.3">
      <c r="A7" t="s">
        <v>20</v>
      </c>
      <c r="B7" t="s">
        <v>101</v>
      </c>
      <c r="C7" t="s">
        <v>97</v>
      </c>
      <c r="D7" t="s">
        <v>97</v>
      </c>
      <c r="E7" t="s">
        <v>97</v>
      </c>
      <c r="H7" t="s">
        <v>64</v>
      </c>
      <c r="I7" t="s">
        <v>79</v>
      </c>
      <c r="N7" s="12"/>
      <c r="O7" s="12"/>
      <c r="P7" s="12"/>
      <c r="Q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</row>
    <row r="8" spans="1:45" ht="14.45" x14ac:dyDescent="0.3">
      <c r="A8" t="s">
        <v>43</v>
      </c>
      <c r="B8" t="s">
        <v>102</v>
      </c>
      <c r="C8" t="s">
        <v>97</v>
      </c>
      <c r="D8" t="s">
        <v>97</v>
      </c>
      <c r="E8" t="s">
        <v>97</v>
      </c>
      <c r="H8" t="s">
        <v>65</v>
      </c>
      <c r="I8" t="s">
        <v>80</v>
      </c>
      <c r="N8" s="12"/>
      <c r="O8" s="12"/>
      <c r="P8" s="12"/>
      <c r="Q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</row>
    <row r="9" spans="1:45" ht="14.45" x14ac:dyDescent="0.3">
      <c r="A9" t="s">
        <v>18</v>
      </c>
      <c r="B9" t="s">
        <v>103</v>
      </c>
      <c r="C9" t="s">
        <v>97</v>
      </c>
      <c r="D9" t="s">
        <v>97</v>
      </c>
      <c r="E9" t="s">
        <v>97</v>
      </c>
      <c r="H9" t="s">
        <v>66</v>
      </c>
      <c r="I9" t="s">
        <v>81</v>
      </c>
      <c r="N9" s="12"/>
      <c r="O9" s="12"/>
      <c r="P9" s="12"/>
      <c r="Q9" s="12"/>
    </row>
    <row r="10" spans="1:45" ht="14.45" x14ac:dyDescent="0.3">
      <c r="A10" t="s">
        <v>16</v>
      </c>
      <c r="B10" t="s">
        <v>104</v>
      </c>
      <c r="C10" t="s">
        <v>105</v>
      </c>
      <c r="D10" t="s">
        <v>97</v>
      </c>
      <c r="E10" t="s">
        <v>97</v>
      </c>
      <c r="I10" t="s">
        <v>82</v>
      </c>
    </row>
    <row r="11" spans="1:45" ht="14.45" x14ac:dyDescent="0.3">
      <c r="A11" t="s">
        <v>14</v>
      </c>
      <c r="B11" t="s">
        <v>110</v>
      </c>
      <c r="I11" t="s">
        <v>72</v>
      </c>
    </row>
    <row r="12" spans="1:45" ht="14.45" x14ac:dyDescent="0.3">
      <c r="A12" t="s">
        <v>15</v>
      </c>
      <c r="B12" t="s">
        <v>109</v>
      </c>
      <c r="C12" t="s">
        <v>88</v>
      </c>
      <c r="D12" t="s">
        <v>106</v>
      </c>
      <c r="E12" t="s">
        <v>107</v>
      </c>
    </row>
    <row r="13" spans="1:45" ht="14.45" x14ac:dyDescent="0.3">
      <c r="A13" t="s">
        <v>58</v>
      </c>
      <c r="B13" t="s">
        <v>109</v>
      </c>
      <c r="C13" t="s">
        <v>88</v>
      </c>
      <c r="D13" t="s">
        <v>106</v>
      </c>
      <c r="E13" t="s">
        <v>107</v>
      </c>
    </row>
    <row r="14" spans="1:45" ht="14.45" x14ac:dyDescent="0.3">
      <c r="A14" t="s">
        <v>86</v>
      </c>
      <c r="B14" t="s">
        <v>109</v>
      </c>
      <c r="C14" t="s">
        <v>88</v>
      </c>
      <c r="D14" t="s">
        <v>106</v>
      </c>
      <c r="E14" t="s">
        <v>107</v>
      </c>
    </row>
    <row r="15" spans="1:45" ht="14.45" x14ac:dyDescent="0.3">
      <c r="A15" t="s">
        <v>57</v>
      </c>
      <c r="B15" t="s">
        <v>109</v>
      </c>
      <c r="C15" t="s">
        <v>88</v>
      </c>
      <c r="D15" t="s">
        <v>106</v>
      </c>
      <c r="E15" t="s">
        <v>107</v>
      </c>
    </row>
    <row r="16" spans="1:45" ht="14.45" x14ac:dyDescent="0.3">
      <c r="A16" t="s">
        <v>17</v>
      </c>
      <c r="B16" t="s">
        <v>111</v>
      </c>
      <c r="C16" t="s">
        <v>112</v>
      </c>
      <c r="D16" t="s">
        <v>97</v>
      </c>
      <c r="E16" t="s">
        <v>97</v>
      </c>
    </row>
    <row r="17" spans="1:26" ht="14.45" x14ac:dyDescent="0.3">
      <c r="A17" t="s">
        <v>12</v>
      </c>
      <c r="B17" t="s">
        <v>113</v>
      </c>
      <c r="C17" t="s">
        <v>97</v>
      </c>
      <c r="D17" t="s">
        <v>97</v>
      </c>
      <c r="E17" t="s">
        <v>97</v>
      </c>
    </row>
    <row r="18" spans="1:26" ht="14.45" x14ac:dyDescent="0.3">
      <c r="A18" t="s">
        <v>13</v>
      </c>
      <c r="B18" t="s">
        <v>13</v>
      </c>
      <c r="C18" t="s">
        <v>97</v>
      </c>
      <c r="D18" t="s">
        <v>97</v>
      </c>
      <c r="E18" t="s">
        <v>97</v>
      </c>
    </row>
    <row r="19" spans="1:26" ht="14.45" x14ac:dyDescent="0.3">
      <c r="A19" t="s">
        <v>11</v>
      </c>
      <c r="B19" t="s">
        <v>11</v>
      </c>
      <c r="C19" t="s">
        <v>97</v>
      </c>
      <c r="D19" t="s">
        <v>97</v>
      </c>
      <c r="E19" t="s">
        <v>97</v>
      </c>
    </row>
    <row r="20" spans="1:26" ht="14.45" x14ac:dyDescent="0.3">
      <c r="A20" t="s">
        <v>10</v>
      </c>
      <c r="B20" t="s">
        <v>108</v>
      </c>
      <c r="C20" t="s">
        <v>97</v>
      </c>
      <c r="D20" t="s">
        <v>97</v>
      </c>
      <c r="E20" t="s">
        <v>97</v>
      </c>
    </row>
    <row r="21" spans="1:26" ht="14.45" x14ac:dyDescent="0.3">
      <c r="A21" t="s">
        <v>533</v>
      </c>
      <c r="B21" t="s">
        <v>99</v>
      </c>
      <c r="C21" s="40" t="s">
        <v>97</v>
      </c>
      <c r="D21" s="40" t="s">
        <v>97</v>
      </c>
      <c r="E21" s="40" t="s">
        <v>97</v>
      </c>
    </row>
    <row r="22" spans="1:26" ht="14.45" x14ac:dyDescent="0.3"/>
    <row r="23" spans="1:26" ht="14.45" x14ac:dyDescent="0.3"/>
    <row r="24" spans="1:26" ht="14.45" x14ac:dyDescent="0.3">
      <c r="R24" s="11"/>
      <c r="S24" s="11"/>
      <c r="T24" s="11"/>
      <c r="U24" s="11"/>
      <c r="V24" s="11"/>
      <c r="W24" s="11"/>
      <c r="X24" s="11"/>
      <c r="Y24" s="11"/>
      <c r="Z24" s="12"/>
    </row>
    <row r="25" spans="1:26" ht="14.45" x14ac:dyDescent="0.3">
      <c r="Y25" s="8"/>
    </row>
    <row r="26" spans="1:26" ht="14.45" x14ac:dyDescent="0.3"/>
    <row r="27" spans="1:26" ht="14.45" x14ac:dyDescent="0.3"/>
    <row r="28" spans="1:26" ht="14.45" x14ac:dyDescent="0.3"/>
    <row r="29" spans="1:26" ht="14.45" x14ac:dyDescent="0.3"/>
  </sheetData>
  <dataValidations disablePrompts="1" count="32">
    <dataValidation type="list" allowBlank="1" showInputMessage="1" showErrorMessage="1" promptTitle="Select a property" sqref="V25:X25 AO5 W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T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V4"/>
    <dataValidation allowBlank="1" showInputMessage="1" showErrorMessage="1" promptTitle="Layer title" prompt="Title of the layer as it will be shown in csWeb." sqref="P4 T4"/>
    <dataValidation allowBlank="1" showInputMessage="1" showErrorMessage="1" promptTitle="Reference" prompt="Unique name that is used by csWeb to identify layers." sqref="O4 S4"/>
    <dataValidation allowBlank="1" showInputMessage="1" showErrorMessage="1" promptTitle="Project title" prompt="Title of the project that the layer should be added to." sqref="N4 R4"/>
    <dataValidation allowBlank="1" showInputMessage="1" showErrorMessage="1" promptTitle="Groupname" prompt="Several layers with the same groupname are grouped together in csWeb." sqref="Z4"/>
    <dataValidation allowBlank="1" showInputMessage="1" showErrorMessage="1" promptTitle="Opacity" prompt="0% is fully transparant, 100% fully opaque." sqref="X4"/>
    <dataValidation allowBlank="1" showInputMessage="1" showErrorMessage="1" promptTitle="Name label" prompt="The header of the column that should be used as the title (usually 'Naam'). The popups in csWeb will display this value." sqref="W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F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N4"/>
    <dataValidation allowBlank="1" showInputMessage="1" showErrorMessage="1" promptTitle="Debugging" prompt="1 to turn on debugging output, 0 to turn it off." sqref="L2"/>
    <dataValidation type="list" allowBlank="1" showInputMessage="1" showErrorMessage="1" promptTitle="True or false" sqref="Y25 AP5 R25:S25">
      <formula1>$F$2:$F$3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U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U25 AI5">
      <formula1>$A$2:$A$24</formula1>
    </dataValidation>
    <dataValidation type="list" allowBlank="1" showInputMessage="1" showErrorMessage="1" promptTitle="True or false" sqref="AN5 AF5:AG5">
      <formula1>BooleanList</formula1>
    </dataValidation>
    <dataValidation type="whole" allowBlank="1" showInputMessage="1" showErrorMessage="1" promptTitle="Set the opacity" prompt="0 is transparent, 100 is opaque." sqref="X5">
      <formula1>0</formula1>
      <formula2>100</formula2>
    </dataValidation>
  </dataValidations>
  <hyperlinks>
    <hyperlink ref="M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2680"/>
  <sheetViews>
    <sheetView topLeftCell="N1" workbookViewId="0">
      <selection activeCell="Y1" sqref="Y1:AC1048576"/>
    </sheetView>
  </sheetViews>
  <sheetFormatPr defaultColWidth="14.28515625" defaultRowHeight="15" x14ac:dyDescent="0.25"/>
  <cols>
    <col min="1" max="6" width="14.28515625" style="31"/>
    <col min="7" max="8" width="14.28515625" style="33"/>
    <col min="9" max="18" width="14.28515625" style="31"/>
    <col min="19" max="24" width="12.7109375" style="31" customWidth="1"/>
    <col min="25" max="16384" width="14.28515625" style="31"/>
  </cols>
  <sheetData>
    <row r="1" spans="1:24" s="30" customFormat="1" x14ac:dyDescent="0.25">
      <c r="A1" t="s">
        <v>122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537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534</v>
      </c>
      <c r="P1" t="s">
        <v>135</v>
      </c>
      <c r="Q1" s="30" t="s">
        <v>535</v>
      </c>
      <c r="R1" s="30" t="s">
        <v>99</v>
      </c>
      <c r="S1" s="30" t="s">
        <v>96</v>
      </c>
      <c r="T1" s="30" t="s">
        <v>938</v>
      </c>
      <c r="U1" s="30" t="s">
        <v>939</v>
      </c>
      <c r="V1" s="30" t="s">
        <v>941</v>
      </c>
      <c r="W1" s="30" t="s">
        <v>940</v>
      </c>
      <c r="X1" s="30" t="s">
        <v>942</v>
      </c>
    </row>
    <row r="2" spans="1:24" x14ac:dyDescent="0.25">
      <c r="A2">
        <v>298</v>
      </c>
      <c r="B2"/>
      <c r="C2">
        <v>3446</v>
      </c>
      <c r="D2">
        <v>1153</v>
      </c>
      <c r="E2"/>
      <c r="F2"/>
      <c r="G2">
        <v>143</v>
      </c>
      <c r="H2">
        <v>1141</v>
      </c>
      <c r="I2">
        <v>6181</v>
      </c>
      <c r="J2">
        <v>0</v>
      </c>
      <c r="K2">
        <v>2913</v>
      </c>
      <c r="L2">
        <v>3268</v>
      </c>
      <c r="M2">
        <v>4435</v>
      </c>
      <c r="N2">
        <v>1746</v>
      </c>
      <c r="O2" t="s">
        <v>586</v>
      </c>
      <c r="P2" t="s">
        <v>472</v>
      </c>
      <c r="Q2" s="31">
        <v>12060</v>
      </c>
      <c r="R2" s="31" t="s">
        <v>472</v>
      </c>
      <c r="S2" s="31" t="s">
        <v>586</v>
      </c>
      <c r="T2" s="31">
        <v>3.65E-3</v>
      </c>
      <c r="U2" s="31">
        <v>9.2619999999999994E-2</v>
      </c>
      <c r="V2" s="31">
        <v>0.15622</v>
      </c>
      <c r="W2" s="31">
        <v>0.2354</v>
      </c>
      <c r="X2" s="31">
        <v>112.89951000000001</v>
      </c>
    </row>
    <row r="3" spans="1:24" x14ac:dyDescent="0.25">
      <c r="A3">
        <v>83</v>
      </c>
      <c r="B3"/>
      <c r="C3">
        <v>2794</v>
      </c>
      <c r="D3">
        <v>1178</v>
      </c>
      <c r="E3"/>
      <c r="F3"/>
      <c r="G3">
        <v>139</v>
      </c>
      <c r="H3">
        <v>485</v>
      </c>
      <c r="I3">
        <v>4679</v>
      </c>
      <c r="J3">
        <v>1</v>
      </c>
      <c r="K3">
        <v>3178</v>
      </c>
      <c r="L3">
        <v>1500</v>
      </c>
      <c r="M3">
        <v>4009</v>
      </c>
      <c r="N3">
        <v>670</v>
      </c>
      <c r="O3" t="s">
        <v>682</v>
      </c>
      <c r="P3" t="s">
        <v>264</v>
      </c>
      <c r="Q3" s="31">
        <v>10490</v>
      </c>
      <c r="R3" s="31" t="s">
        <v>264</v>
      </c>
      <c r="S3" s="31" t="s">
        <v>682</v>
      </c>
      <c r="T3" s="31">
        <v>2.9099999999999998E-3</v>
      </c>
      <c r="U3" s="31">
        <v>0.12092</v>
      </c>
      <c r="V3" s="31">
        <v>0.19278999999999999</v>
      </c>
      <c r="W3" s="31">
        <v>0.20196</v>
      </c>
      <c r="X3" s="31">
        <v>75.101259999999996</v>
      </c>
    </row>
    <row r="4" spans="1:24" x14ac:dyDescent="0.25">
      <c r="A4">
        <v>55</v>
      </c>
      <c r="B4"/>
      <c r="C4">
        <v>2089</v>
      </c>
      <c r="D4">
        <v>1608</v>
      </c>
      <c r="E4"/>
      <c r="F4"/>
      <c r="G4">
        <v>255</v>
      </c>
      <c r="H4">
        <v>163</v>
      </c>
      <c r="I4">
        <v>4170</v>
      </c>
      <c r="J4">
        <v>57</v>
      </c>
      <c r="K4">
        <v>3011</v>
      </c>
      <c r="L4">
        <v>1103</v>
      </c>
      <c r="M4">
        <v>3899</v>
      </c>
      <c r="N4">
        <v>271</v>
      </c>
      <c r="O4" t="s">
        <v>809</v>
      </c>
      <c r="P4" t="s">
        <v>168</v>
      </c>
      <c r="Q4" s="31">
        <v>8900</v>
      </c>
      <c r="R4" s="31" t="s">
        <v>168</v>
      </c>
      <c r="S4" s="31" t="s">
        <v>809</v>
      </c>
      <c r="T4" s="31">
        <v>3.4499999999999999E-3</v>
      </c>
      <c r="U4" s="31">
        <v>0.17421</v>
      </c>
      <c r="V4" s="31">
        <v>0.15046999999999999</v>
      </c>
      <c r="W4" s="31">
        <v>0.25973000000000002</v>
      </c>
      <c r="X4" s="31">
        <v>99.312349999999995</v>
      </c>
    </row>
    <row r="5" spans="1:24" x14ac:dyDescent="0.25">
      <c r="A5">
        <v>18</v>
      </c>
      <c r="B5"/>
      <c r="C5">
        <v>1862</v>
      </c>
      <c r="D5">
        <v>848</v>
      </c>
      <c r="E5"/>
      <c r="F5"/>
      <c r="G5">
        <v>141</v>
      </c>
      <c r="H5">
        <v>188</v>
      </c>
      <c r="I5">
        <v>3057</v>
      </c>
      <c r="J5">
        <v>0</v>
      </c>
      <c r="K5">
        <v>2378</v>
      </c>
      <c r="L5">
        <v>679</v>
      </c>
      <c r="M5">
        <v>2798</v>
      </c>
      <c r="N5">
        <v>260</v>
      </c>
      <c r="O5" t="s">
        <v>608</v>
      </c>
      <c r="P5" t="s">
        <v>204</v>
      </c>
      <c r="Q5" s="31">
        <v>7465</v>
      </c>
      <c r="R5" s="31" t="s">
        <v>204</v>
      </c>
      <c r="S5" s="31" t="s">
        <v>608</v>
      </c>
      <c r="T5" s="31">
        <v>2.5400000000000002E-3</v>
      </c>
      <c r="U5" s="31">
        <v>0.12255000000000001</v>
      </c>
      <c r="V5" s="31">
        <v>0.22170999999999999</v>
      </c>
      <c r="W5" s="31">
        <v>0.18906000000000001</v>
      </c>
      <c r="X5" s="31">
        <v>57.194569999999999</v>
      </c>
    </row>
    <row r="6" spans="1:24" x14ac:dyDescent="0.25">
      <c r="A6">
        <v>486</v>
      </c>
      <c r="B6"/>
      <c r="C6">
        <v>7005</v>
      </c>
      <c r="D6">
        <v>3262</v>
      </c>
      <c r="E6"/>
      <c r="F6"/>
      <c r="G6">
        <v>461</v>
      </c>
      <c r="H6">
        <v>1638</v>
      </c>
      <c r="I6">
        <v>12852</v>
      </c>
      <c r="J6">
        <v>2</v>
      </c>
      <c r="K6">
        <v>7821</v>
      </c>
      <c r="L6">
        <v>5003</v>
      </c>
      <c r="M6">
        <v>9885</v>
      </c>
      <c r="N6">
        <v>2941</v>
      </c>
      <c r="O6" t="s">
        <v>689</v>
      </c>
      <c r="P6" t="s">
        <v>271</v>
      </c>
      <c r="Q6" s="31">
        <v>25670</v>
      </c>
      <c r="R6" s="31" t="s">
        <v>271</v>
      </c>
      <c r="S6" s="31" t="s">
        <v>689</v>
      </c>
      <c r="T6" s="31">
        <v>3.63E-3</v>
      </c>
      <c r="U6" s="31">
        <v>0.13386000000000001</v>
      </c>
      <c r="V6" s="31">
        <v>0.15614</v>
      </c>
      <c r="W6" s="31">
        <v>0.23959</v>
      </c>
      <c r="X6" s="31">
        <v>108.32223</v>
      </c>
    </row>
    <row r="7" spans="1:24" x14ac:dyDescent="0.25">
      <c r="A7">
        <v>25341</v>
      </c>
      <c r="B7"/>
      <c r="C7">
        <v>32644</v>
      </c>
      <c r="D7">
        <v>24729</v>
      </c>
      <c r="E7"/>
      <c r="F7"/>
      <c r="G7">
        <v>1365</v>
      </c>
      <c r="H7">
        <v>20663</v>
      </c>
      <c r="I7">
        <v>104742</v>
      </c>
      <c r="J7">
        <v>947</v>
      </c>
      <c r="K7">
        <v>42918</v>
      </c>
      <c r="L7">
        <v>60845</v>
      </c>
      <c r="M7">
        <v>37573</v>
      </c>
      <c r="N7">
        <v>67137</v>
      </c>
      <c r="O7" t="s">
        <v>798</v>
      </c>
      <c r="P7" t="s">
        <v>378</v>
      </c>
      <c r="Q7" s="31">
        <v>198235</v>
      </c>
      <c r="R7" s="31" t="s">
        <v>378</v>
      </c>
      <c r="S7" s="31" t="s">
        <v>798</v>
      </c>
      <c r="T7" s="31">
        <v>1.6100000000000001E-3</v>
      </c>
      <c r="U7" s="31">
        <v>0.12601999999999999</v>
      </c>
      <c r="V7" s="31">
        <v>9.1689999999999994E-2</v>
      </c>
      <c r="W7" s="31">
        <v>0.12123</v>
      </c>
      <c r="X7" s="31">
        <v>55.71866</v>
      </c>
    </row>
    <row r="8" spans="1:24" x14ac:dyDescent="0.25">
      <c r="A8">
        <v>77</v>
      </c>
      <c r="B8"/>
      <c r="C8">
        <v>2761</v>
      </c>
      <c r="D8">
        <v>1714</v>
      </c>
      <c r="E8"/>
      <c r="F8"/>
      <c r="G8">
        <v>265</v>
      </c>
      <c r="H8">
        <v>283</v>
      </c>
      <c r="I8">
        <v>5100</v>
      </c>
      <c r="J8">
        <v>25</v>
      </c>
      <c r="K8">
        <v>3634</v>
      </c>
      <c r="L8">
        <v>1442</v>
      </c>
      <c r="M8">
        <v>4748</v>
      </c>
      <c r="N8">
        <v>352</v>
      </c>
      <c r="O8" t="s">
        <v>615</v>
      </c>
      <c r="P8" t="s">
        <v>208</v>
      </c>
      <c r="Q8" s="31">
        <v>12145</v>
      </c>
      <c r="R8" s="31" t="s">
        <v>208</v>
      </c>
      <c r="S8" s="31" t="s">
        <v>615</v>
      </c>
      <c r="T8" s="31">
        <v>2.4299999999999999E-3</v>
      </c>
      <c r="U8" s="31">
        <v>0.13708000000000001</v>
      </c>
      <c r="V8" s="31">
        <v>0.16139999999999999</v>
      </c>
      <c r="W8" s="31">
        <v>0.17211000000000001</v>
      </c>
      <c r="X8" s="31">
        <v>69.452020000000005</v>
      </c>
    </row>
    <row r="9" spans="1:24" x14ac:dyDescent="0.25">
      <c r="A9">
        <v>688</v>
      </c>
      <c r="B9"/>
      <c r="C9">
        <v>5081</v>
      </c>
      <c r="D9">
        <v>2039</v>
      </c>
      <c r="E9"/>
      <c r="F9"/>
      <c r="G9">
        <v>127</v>
      </c>
      <c r="H9">
        <v>910</v>
      </c>
      <c r="I9">
        <v>8845</v>
      </c>
      <c r="J9">
        <v>9</v>
      </c>
      <c r="K9">
        <v>5738</v>
      </c>
      <c r="L9">
        <v>3086</v>
      </c>
      <c r="M9">
        <v>6707</v>
      </c>
      <c r="N9">
        <v>2126</v>
      </c>
      <c r="O9" t="s">
        <v>862</v>
      </c>
      <c r="P9" t="s">
        <v>443</v>
      </c>
      <c r="Q9" s="31">
        <v>18765</v>
      </c>
      <c r="R9" s="31" t="s">
        <v>443</v>
      </c>
      <c r="S9" s="31" t="s">
        <v>862</v>
      </c>
      <c r="T9" s="31">
        <v>4.1200000000000004E-3</v>
      </c>
      <c r="U9" s="31">
        <v>0.11436</v>
      </c>
      <c r="V9" s="31">
        <v>0.24392</v>
      </c>
      <c r="W9" s="31">
        <v>0.26645999999999997</v>
      </c>
      <c r="X9" s="31">
        <v>81.59254</v>
      </c>
    </row>
    <row r="10" spans="1:24" x14ac:dyDescent="0.25">
      <c r="A10">
        <v>1155</v>
      </c>
      <c r="B10"/>
      <c r="C10">
        <v>9197</v>
      </c>
      <c r="D10">
        <v>3401</v>
      </c>
      <c r="E10"/>
      <c r="F10"/>
      <c r="G10">
        <v>769</v>
      </c>
      <c r="H10">
        <v>4412</v>
      </c>
      <c r="I10">
        <v>18934</v>
      </c>
      <c r="J10">
        <v>26</v>
      </c>
      <c r="K10">
        <v>10273</v>
      </c>
      <c r="L10">
        <v>8605</v>
      </c>
      <c r="M10">
        <v>12832</v>
      </c>
      <c r="N10">
        <v>6072</v>
      </c>
      <c r="O10" t="s">
        <v>540</v>
      </c>
      <c r="P10" t="s">
        <v>138</v>
      </c>
      <c r="Q10" s="31">
        <v>34270</v>
      </c>
      <c r="R10" s="31" t="s">
        <v>138</v>
      </c>
      <c r="S10" s="31" t="s">
        <v>540</v>
      </c>
      <c r="T10" s="31">
        <v>3.2299999999999998E-3</v>
      </c>
      <c r="U10" s="31">
        <v>0.10478999999999999</v>
      </c>
      <c r="V10" s="31">
        <v>0.13453000000000001</v>
      </c>
      <c r="W10" s="31">
        <v>0.21412</v>
      </c>
      <c r="X10" s="31">
        <v>105.49709</v>
      </c>
    </row>
    <row r="11" spans="1:24" x14ac:dyDescent="0.25">
      <c r="A11">
        <v>205</v>
      </c>
      <c r="B11"/>
      <c r="C11">
        <v>5133</v>
      </c>
      <c r="D11">
        <v>2218</v>
      </c>
      <c r="E11"/>
      <c r="F11"/>
      <c r="G11">
        <v>277</v>
      </c>
      <c r="H11">
        <v>966</v>
      </c>
      <c r="I11">
        <v>8799</v>
      </c>
      <c r="J11">
        <v>4</v>
      </c>
      <c r="K11">
        <v>5682</v>
      </c>
      <c r="L11">
        <v>3106</v>
      </c>
      <c r="M11">
        <v>7542</v>
      </c>
      <c r="N11">
        <v>1250</v>
      </c>
      <c r="O11" t="s">
        <v>670</v>
      </c>
      <c r="P11" t="s">
        <v>501</v>
      </c>
      <c r="Q11" s="31">
        <v>19570</v>
      </c>
      <c r="R11" s="31" t="s">
        <v>501</v>
      </c>
      <c r="S11" s="31" t="s">
        <v>670</v>
      </c>
      <c r="T11" s="31">
        <v>3.0699999999999998E-3</v>
      </c>
      <c r="U11" s="31">
        <v>0.11552999999999999</v>
      </c>
      <c r="V11" s="31">
        <v>0.17580000000000001</v>
      </c>
      <c r="W11" s="31">
        <v>0.20644000000000001</v>
      </c>
      <c r="X11" s="31">
        <v>84.59751</v>
      </c>
    </row>
    <row r="12" spans="1:24" x14ac:dyDescent="0.25">
      <c r="A12">
        <v>39</v>
      </c>
      <c r="B12"/>
      <c r="C12">
        <v>2330</v>
      </c>
      <c r="D12">
        <v>1693</v>
      </c>
      <c r="E12"/>
      <c r="F12"/>
      <c r="G12">
        <v>366</v>
      </c>
      <c r="H12">
        <v>317</v>
      </c>
      <c r="I12">
        <v>4745</v>
      </c>
      <c r="J12">
        <v>3</v>
      </c>
      <c r="K12">
        <v>3083</v>
      </c>
      <c r="L12">
        <v>1658</v>
      </c>
      <c r="M12">
        <v>4358</v>
      </c>
      <c r="N12">
        <v>386</v>
      </c>
      <c r="O12" t="s">
        <v>847</v>
      </c>
      <c r="P12" t="s">
        <v>415</v>
      </c>
      <c r="Q12" s="31">
        <v>10170</v>
      </c>
      <c r="R12" s="31" t="s">
        <v>415</v>
      </c>
      <c r="S12" s="31" t="s">
        <v>847</v>
      </c>
      <c r="T12" s="31">
        <v>2.7799999999999999E-3</v>
      </c>
      <c r="U12" s="31">
        <v>0.16311999999999999</v>
      </c>
      <c r="V12" s="31">
        <v>0.14799000000000001</v>
      </c>
      <c r="W12" s="31">
        <v>0.20046</v>
      </c>
      <c r="X12" s="31">
        <v>80.465170000000001</v>
      </c>
    </row>
    <row r="13" spans="1:24" x14ac:dyDescent="0.25">
      <c r="A13">
        <v>69</v>
      </c>
      <c r="B13"/>
      <c r="C13">
        <v>2438</v>
      </c>
      <c r="D13">
        <v>1396</v>
      </c>
      <c r="E13"/>
      <c r="F13"/>
      <c r="G13">
        <v>243</v>
      </c>
      <c r="H13">
        <v>188</v>
      </c>
      <c r="I13">
        <v>4334</v>
      </c>
      <c r="J13">
        <v>0</v>
      </c>
      <c r="K13">
        <v>3096</v>
      </c>
      <c r="L13">
        <v>1238</v>
      </c>
      <c r="M13">
        <v>4051</v>
      </c>
      <c r="N13">
        <v>283</v>
      </c>
      <c r="O13" t="s">
        <v>889</v>
      </c>
      <c r="P13" t="s">
        <v>300</v>
      </c>
      <c r="Q13" s="31">
        <v>10360</v>
      </c>
      <c r="R13" s="31" t="s">
        <v>300</v>
      </c>
      <c r="S13" s="31" t="s">
        <v>889</v>
      </c>
      <c r="T13" s="31">
        <v>2.5400000000000002E-3</v>
      </c>
      <c r="U13" s="31">
        <v>0.13483000000000001</v>
      </c>
      <c r="V13" s="31">
        <v>0.19614999999999999</v>
      </c>
      <c r="W13" s="31">
        <v>0.17796999999999999</v>
      </c>
      <c r="X13" s="31">
        <v>60.945140000000002</v>
      </c>
    </row>
    <row r="14" spans="1:24" x14ac:dyDescent="0.25">
      <c r="A14">
        <v>3275</v>
      </c>
      <c r="B14"/>
      <c r="C14">
        <v>55695</v>
      </c>
      <c r="D14">
        <v>10694</v>
      </c>
      <c r="E14"/>
      <c r="F14"/>
      <c r="G14">
        <v>418</v>
      </c>
      <c r="H14">
        <v>12409</v>
      </c>
      <c r="I14">
        <v>82491</v>
      </c>
      <c r="J14">
        <v>139</v>
      </c>
      <c r="K14">
        <v>51225</v>
      </c>
      <c r="L14">
        <v>31046</v>
      </c>
      <c r="M14">
        <v>60765</v>
      </c>
      <c r="N14">
        <v>21645</v>
      </c>
      <c r="O14" t="s">
        <v>877</v>
      </c>
      <c r="P14" t="s">
        <v>487</v>
      </c>
      <c r="Q14" s="31">
        <v>195930</v>
      </c>
      <c r="R14" s="31" t="s">
        <v>487</v>
      </c>
      <c r="S14" s="31" t="s">
        <v>877</v>
      </c>
      <c r="T14" s="31">
        <v>1.5499999999999999E-3</v>
      </c>
      <c r="U14" s="31">
        <v>5.6610000000000001E-2</v>
      </c>
      <c r="V14" s="31">
        <v>0.20813999999999999</v>
      </c>
      <c r="W14" s="31">
        <v>9.9690000000000001E-2</v>
      </c>
      <c r="X14" s="31">
        <v>41.57414</v>
      </c>
    </row>
    <row r="15" spans="1:24" x14ac:dyDescent="0.25">
      <c r="A15">
        <v>430</v>
      </c>
      <c r="B15"/>
      <c r="C15">
        <v>8572</v>
      </c>
      <c r="D15">
        <v>4515</v>
      </c>
      <c r="E15"/>
      <c r="F15"/>
      <c r="G15">
        <v>529</v>
      </c>
      <c r="H15">
        <v>2391</v>
      </c>
      <c r="I15">
        <v>16437</v>
      </c>
      <c r="J15">
        <v>419</v>
      </c>
      <c r="K15">
        <v>9376</v>
      </c>
      <c r="L15">
        <v>6642</v>
      </c>
      <c r="M15">
        <v>12597</v>
      </c>
      <c r="N15">
        <v>3840</v>
      </c>
      <c r="O15" t="s">
        <v>806</v>
      </c>
      <c r="P15" t="s">
        <v>386</v>
      </c>
      <c r="Q15" s="31">
        <v>32780</v>
      </c>
      <c r="R15" s="31" t="s">
        <v>386</v>
      </c>
      <c r="S15" s="31" t="s">
        <v>806</v>
      </c>
      <c r="T15" s="31">
        <v>3.6700000000000001E-3</v>
      </c>
      <c r="U15" s="31">
        <v>0.14582000000000001</v>
      </c>
      <c r="V15" s="31">
        <v>0.1449</v>
      </c>
      <c r="W15" s="31">
        <v>0.23546</v>
      </c>
      <c r="X15" s="31">
        <v>116.07702</v>
      </c>
    </row>
    <row r="16" spans="1:24" x14ac:dyDescent="0.25">
      <c r="A16">
        <v>197</v>
      </c>
      <c r="B16"/>
      <c r="C16">
        <v>3680</v>
      </c>
      <c r="D16">
        <v>2473</v>
      </c>
      <c r="E16"/>
      <c r="F16"/>
      <c r="G16">
        <v>423</v>
      </c>
      <c r="H16">
        <v>344</v>
      </c>
      <c r="I16">
        <v>7117</v>
      </c>
      <c r="J16">
        <v>6</v>
      </c>
      <c r="K16">
        <v>5007</v>
      </c>
      <c r="L16">
        <v>2055</v>
      </c>
      <c r="M16">
        <v>6525</v>
      </c>
      <c r="N16">
        <v>543</v>
      </c>
      <c r="O16" t="s">
        <v>925</v>
      </c>
      <c r="P16" t="s">
        <v>522</v>
      </c>
      <c r="Q16" s="31">
        <v>15520</v>
      </c>
      <c r="R16" s="31" t="s">
        <v>522</v>
      </c>
      <c r="S16" s="31" t="s">
        <v>925</v>
      </c>
      <c r="T16" s="31">
        <v>2.7599999999999999E-3</v>
      </c>
      <c r="U16" s="31">
        <v>0.16073000000000001</v>
      </c>
      <c r="V16" s="31">
        <v>0.18615999999999999</v>
      </c>
      <c r="W16" s="31">
        <v>0.18340000000000001</v>
      </c>
      <c r="X16" s="31">
        <v>65.868260000000006</v>
      </c>
    </row>
    <row r="17" spans="1:24" x14ac:dyDescent="0.25">
      <c r="A17">
        <v>524</v>
      </c>
      <c r="B17"/>
      <c r="C17">
        <v>8066</v>
      </c>
      <c r="D17">
        <v>2590</v>
      </c>
      <c r="E17"/>
      <c r="F17"/>
      <c r="G17">
        <v>319</v>
      </c>
      <c r="H17">
        <v>1528</v>
      </c>
      <c r="I17">
        <v>13027</v>
      </c>
      <c r="J17">
        <v>77</v>
      </c>
      <c r="K17">
        <v>8318</v>
      </c>
      <c r="L17">
        <v>4632</v>
      </c>
      <c r="M17">
        <v>10297</v>
      </c>
      <c r="N17">
        <v>2730</v>
      </c>
      <c r="O17" t="s">
        <v>552</v>
      </c>
      <c r="P17" t="s">
        <v>146</v>
      </c>
      <c r="Q17" s="31">
        <v>27780</v>
      </c>
      <c r="R17" s="31" t="s">
        <v>146</v>
      </c>
      <c r="S17" s="31" t="s">
        <v>552</v>
      </c>
      <c r="T17" s="31">
        <v>2.97E-3</v>
      </c>
      <c r="U17" s="31">
        <v>9.6780000000000005E-2</v>
      </c>
      <c r="V17" s="31">
        <v>0.15187</v>
      </c>
      <c r="W17" s="31">
        <v>0.21068999999999999</v>
      </c>
      <c r="X17" s="31">
        <v>100.26170999999999</v>
      </c>
    </row>
    <row r="18" spans="1:24" x14ac:dyDescent="0.25">
      <c r="A18">
        <v>370</v>
      </c>
      <c r="B18"/>
      <c r="C18">
        <v>4001</v>
      </c>
      <c r="D18">
        <v>2402</v>
      </c>
      <c r="E18"/>
      <c r="F18"/>
      <c r="G18">
        <v>763</v>
      </c>
      <c r="H18">
        <v>947</v>
      </c>
      <c r="I18">
        <v>8483</v>
      </c>
      <c r="J18">
        <v>89</v>
      </c>
      <c r="K18">
        <v>5247</v>
      </c>
      <c r="L18">
        <v>2798</v>
      </c>
      <c r="M18">
        <v>6812</v>
      </c>
      <c r="N18">
        <v>1322</v>
      </c>
      <c r="O18" t="s">
        <v>852</v>
      </c>
      <c r="P18" t="s">
        <v>437</v>
      </c>
      <c r="Q18" s="31">
        <v>15865</v>
      </c>
      <c r="R18" s="31" t="s">
        <v>437</v>
      </c>
      <c r="S18" s="31" t="s">
        <v>852</v>
      </c>
      <c r="T18" s="31">
        <v>3.6099999999999999E-3</v>
      </c>
      <c r="U18" s="31">
        <v>0.15196999999999999</v>
      </c>
      <c r="V18" s="31">
        <v>0.13141</v>
      </c>
      <c r="W18" s="31">
        <v>0.23991999999999999</v>
      </c>
      <c r="X18" s="31">
        <v>113.46932</v>
      </c>
    </row>
    <row r="19" spans="1:24" x14ac:dyDescent="0.25">
      <c r="A19">
        <v>185</v>
      </c>
      <c r="B19"/>
      <c r="C19">
        <v>6297</v>
      </c>
      <c r="D19">
        <v>752</v>
      </c>
      <c r="E19"/>
      <c r="F19"/>
      <c r="G19">
        <v>473</v>
      </c>
      <c r="H19">
        <v>783</v>
      </c>
      <c r="I19">
        <v>8490</v>
      </c>
      <c r="J19">
        <v>47</v>
      </c>
      <c r="K19">
        <v>5383</v>
      </c>
      <c r="L19">
        <v>3051</v>
      </c>
      <c r="M19">
        <v>7199</v>
      </c>
      <c r="N19">
        <v>1281</v>
      </c>
      <c r="O19" t="s">
        <v>543</v>
      </c>
      <c r="P19" t="s">
        <v>141</v>
      </c>
      <c r="Q19" s="31">
        <v>21485</v>
      </c>
      <c r="R19" s="31" t="s">
        <v>141</v>
      </c>
      <c r="S19" s="31" t="s">
        <v>543</v>
      </c>
      <c r="T19" s="31">
        <v>1.75E-3</v>
      </c>
      <c r="U19" s="31">
        <v>3.7400000000000003E-2</v>
      </c>
      <c r="V19" s="31">
        <v>0.26357000000000003</v>
      </c>
      <c r="W19" s="31">
        <v>0.11260000000000001</v>
      </c>
      <c r="X19" s="31">
        <v>39.730539999999998</v>
      </c>
    </row>
    <row r="20" spans="1:24" x14ac:dyDescent="0.25">
      <c r="A20">
        <v>65</v>
      </c>
      <c r="B20"/>
      <c r="C20">
        <v>3666</v>
      </c>
      <c r="D20">
        <v>1932</v>
      </c>
      <c r="E20"/>
      <c r="F20"/>
      <c r="G20">
        <v>247</v>
      </c>
      <c r="H20">
        <v>263</v>
      </c>
      <c r="I20">
        <v>6173</v>
      </c>
      <c r="J20">
        <v>0</v>
      </c>
      <c r="K20">
        <v>4276</v>
      </c>
      <c r="L20">
        <v>1884</v>
      </c>
      <c r="M20">
        <v>5730</v>
      </c>
      <c r="N20">
        <v>430</v>
      </c>
      <c r="O20" t="s">
        <v>653</v>
      </c>
      <c r="P20" t="s">
        <v>239</v>
      </c>
      <c r="Q20" s="31">
        <v>13830</v>
      </c>
      <c r="R20" s="31" t="s">
        <v>239</v>
      </c>
      <c r="S20" s="31" t="s">
        <v>653</v>
      </c>
      <c r="T20" s="31">
        <v>3.0000000000000001E-3</v>
      </c>
      <c r="U20" s="31">
        <v>0.13769999999999999</v>
      </c>
      <c r="V20" s="31">
        <v>0.22144</v>
      </c>
      <c r="W20" s="31">
        <v>0.20634</v>
      </c>
      <c r="X20" s="31">
        <v>67.406390000000002</v>
      </c>
    </row>
    <row r="21" spans="1:24" x14ac:dyDescent="0.25">
      <c r="A21">
        <v>106</v>
      </c>
      <c r="B21"/>
      <c r="C21">
        <v>4721</v>
      </c>
      <c r="D21">
        <v>2204</v>
      </c>
      <c r="E21"/>
      <c r="F21"/>
      <c r="G21">
        <v>359</v>
      </c>
      <c r="H21">
        <v>526</v>
      </c>
      <c r="I21">
        <v>7916</v>
      </c>
      <c r="J21">
        <v>1</v>
      </c>
      <c r="K21">
        <v>5848</v>
      </c>
      <c r="L21">
        <v>2067</v>
      </c>
      <c r="M21">
        <v>7233</v>
      </c>
      <c r="N21">
        <v>683</v>
      </c>
      <c r="O21" t="s">
        <v>636</v>
      </c>
      <c r="P21" t="s">
        <v>433</v>
      </c>
      <c r="Q21" s="31">
        <v>18770</v>
      </c>
      <c r="R21" s="31" t="s">
        <v>433</v>
      </c>
      <c r="S21" s="31" t="s">
        <v>636</v>
      </c>
      <c r="T21" s="31">
        <v>2.7100000000000002E-3</v>
      </c>
      <c r="U21" s="31">
        <v>0.12417</v>
      </c>
      <c r="V21" s="31">
        <v>0.22089</v>
      </c>
      <c r="W21" s="31">
        <v>0.18687000000000001</v>
      </c>
      <c r="X21" s="31">
        <v>60.548900000000003</v>
      </c>
    </row>
    <row r="22" spans="1:24" x14ac:dyDescent="0.25">
      <c r="A22">
        <v>274</v>
      </c>
      <c r="B22"/>
      <c r="C22">
        <v>7028</v>
      </c>
      <c r="D22">
        <v>2519</v>
      </c>
      <c r="E22"/>
      <c r="F22"/>
      <c r="G22">
        <v>603</v>
      </c>
      <c r="H22">
        <v>748</v>
      </c>
      <c r="I22">
        <v>11172</v>
      </c>
      <c r="J22">
        <v>9</v>
      </c>
      <c r="K22">
        <v>7014</v>
      </c>
      <c r="L22">
        <v>4060</v>
      </c>
      <c r="M22">
        <v>9771</v>
      </c>
      <c r="N22">
        <v>1312</v>
      </c>
      <c r="O22" t="s">
        <v>690</v>
      </c>
      <c r="P22" t="s">
        <v>272</v>
      </c>
      <c r="Q22" s="31">
        <v>24095</v>
      </c>
      <c r="R22" s="31" t="s">
        <v>272</v>
      </c>
      <c r="S22" s="31" t="s">
        <v>690</v>
      </c>
      <c r="T22" s="31">
        <v>3.1900000000000001E-3</v>
      </c>
      <c r="U22" s="31">
        <v>0.10624</v>
      </c>
      <c r="V22" s="31">
        <v>0.18819</v>
      </c>
      <c r="W22" s="31">
        <v>0.20458000000000001</v>
      </c>
      <c r="X22" s="31">
        <v>87.587329999999994</v>
      </c>
    </row>
    <row r="23" spans="1:24" x14ac:dyDescent="0.25">
      <c r="A23">
        <v>305</v>
      </c>
      <c r="B23"/>
      <c r="C23">
        <v>7187</v>
      </c>
      <c r="D23">
        <v>3518</v>
      </c>
      <c r="E23"/>
      <c r="F23"/>
      <c r="G23">
        <v>529</v>
      </c>
      <c r="H23">
        <v>774</v>
      </c>
      <c r="I23">
        <v>12313</v>
      </c>
      <c r="J23">
        <v>161</v>
      </c>
      <c r="K23">
        <v>7722</v>
      </c>
      <c r="L23">
        <v>4430</v>
      </c>
      <c r="M23">
        <v>10971</v>
      </c>
      <c r="N23">
        <v>1342</v>
      </c>
      <c r="O23" t="s">
        <v>871</v>
      </c>
      <c r="P23" t="s">
        <v>458</v>
      </c>
      <c r="Q23" s="31">
        <v>28000</v>
      </c>
      <c r="R23" s="31" t="s">
        <v>458</v>
      </c>
      <c r="S23" s="31" t="s">
        <v>871</v>
      </c>
      <c r="T23" s="31">
        <v>2.7699999999999999E-3</v>
      </c>
      <c r="U23" s="31">
        <v>0.12601999999999999</v>
      </c>
      <c r="V23" s="31">
        <v>0.16469</v>
      </c>
      <c r="W23" s="31">
        <v>0.18231</v>
      </c>
      <c r="X23" s="31">
        <v>81.602199999999996</v>
      </c>
    </row>
    <row r="24" spans="1:24" x14ac:dyDescent="0.25">
      <c r="A24">
        <v>105</v>
      </c>
      <c r="B24"/>
      <c r="C24">
        <v>799</v>
      </c>
      <c r="D24">
        <v>514</v>
      </c>
      <c r="E24"/>
      <c r="F24"/>
      <c r="G24">
        <v>234</v>
      </c>
      <c r="H24">
        <v>72</v>
      </c>
      <c r="I24">
        <v>1724</v>
      </c>
      <c r="J24">
        <v>54</v>
      </c>
      <c r="K24">
        <v>1206</v>
      </c>
      <c r="L24">
        <v>447</v>
      </c>
      <c r="M24">
        <v>1412</v>
      </c>
      <c r="N24">
        <v>295</v>
      </c>
      <c r="O24" t="s">
        <v>595</v>
      </c>
      <c r="P24" t="s">
        <v>190</v>
      </c>
      <c r="Q24" s="31">
        <v>3570</v>
      </c>
      <c r="R24" s="31" t="s">
        <v>190</v>
      </c>
      <c r="S24" s="31" t="s">
        <v>595</v>
      </c>
      <c r="T24" s="31">
        <v>3.0400000000000002E-3</v>
      </c>
      <c r="U24" s="31">
        <v>0.14210999999999999</v>
      </c>
      <c r="V24" s="31">
        <v>0.18568999999999999</v>
      </c>
      <c r="W24" s="31">
        <v>0.21767</v>
      </c>
      <c r="X24" s="31">
        <v>66.554879999999997</v>
      </c>
    </row>
    <row r="25" spans="1:24" x14ac:dyDescent="0.25">
      <c r="A25">
        <v>115</v>
      </c>
      <c r="B25"/>
      <c r="C25">
        <v>2825</v>
      </c>
      <c r="D25">
        <v>1514</v>
      </c>
      <c r="E25"/>
      <c r="F25"/>
      <c r="G25">
        <v>272</v>
      </c>
      <c r="H25">
        <v>158</v>
      </c>
      <c r="I25">
        <v>4884</v>
      </c>
      <c r="J25">
        <v>0</v>
      </c>
      <c r="K25">
        <v>3217</v>
      </c>
      <c r="L25">
        <v>1667</v>
      </c>
      <c r="M25">
        <v>4660</v>
      </c>
      <c r="N25">
        <v>224</v>
      </c>
      <c r="O25" t="s">
        <v>626</v>
      </c>
      <c r="P25" t="s">
        <v>219</v>
      </c>
      <c r="Q25" s="31">
        <v>10610</v>
      </c>
      <c r="R25" s="31" t="s">
        <v>219</v>
      </c>
      <c r="S25" s="31" t="s">
        <v>626</v>
      </c>
      <c r="T25" s="31">
        <v>2.7499999999999998E-3</v>
      </c>
      <c r="U25" s="31">
        <v>0.13902999999999999</v>
      </c>
      <c r="V25" s="31">
        <v>0.17330999999999999</v>
      </c>
      <c r="W25" s="31">
        <v>0.19867000000000001</v>
      </c>
      <c r="X25" s="31">
        <v>77.776399999999995</v>
      </c>
    </row>
    <row r="26" spans="1:24" x14ac:dyDescent="0.25">
      <c r="A26">
        <v>148</v>
      </c>
      <c r="B26"/>
      <c r="C26">
        <v>6209</v>
      </c>
      <c r="D26">
        <v>1816</v>
      </c>
      <c r="E26"/>
      <c r="F26"/>
      <c r="G26">
        <v>606</v>
      </c>
      <c r="H26">
        <v>924</v>
      </c>
      <c r="I26">
        <v>9703</v>
      </c>
      <c r="J26">
        <v>86</v>
      </c>
      <c r="K26">
        <v>6058</v>
      </c>
      <c r="L26">
        <v>3450</v>
      </c>
      <c r="M26">
        <v>8239</v>
      </c>
      <c r="N26">
        <v>1355</v>
      </c>
      <c r="O26" t="s">
        <v>907</v>
      </c>
      <c r="P26" t="s">
        <v>410</v>
      </c>
      <c r="Q26" s="31">
        <v>20390</v>
      </c>
      <c r="R26" s="31" t="s">
        <v>410</v>
      </c>
      <c r="S26" s="31" t="s">
        <v>907</v>
      </c>
      <c r="T26" s="31">
        <v>3.0000000000000001E-3</v>
      </c>
      <c r="U26" s="31">
        <v>8.8400000000000006E-2</v>
      </c>
      <c r="V26" s="31">
        <v>0.18890999999999999</v>
      </c>
      <c r="W26" s="31">
        <v>0.20566999999999999</v>
      </c>
      <c r="X26" s="31">
        <v>83.225980000000007</v>
      </c>
    </row>
    <row r="27" spans="1:24" x14ac:dyDescent="0.25">
      <c r="A27">
        <v>439</v>
      </c>
      <c r="B27"/>
      <c r="C27">
        <v>5016</v>
      </c>
      <c r="D27">
        <v>1083</v>
      </c>
      <c r="E27"/>
      <c r="F27"/>
      <c r="G27">
        <v>274</v>
      </c>
      <c r="H27">
        <v>865</v>
      </c>
      <c r="I27">
        <v>7677</v>
      </c>
      <c r="J27">
        <v>26</v>
      </c>
      <c r="K27">
        <v>4223</v>
      </c>
      <c r="L27">
        <v>3428</v>
      </c>
      <c r="M27">
        <v>5944</v>
      </c>
      <c r="N27">
        <v>1733</v>
      </c>
      <c r="O27" t="s">
        <v>856</v>
      </c>
      <c r="P27" t="s">
        <v>424</v>
      </c>
      <c r="Q27" s="31">
        <v>15810</v>
      </c>
      <c r="R27" s="31" t="s">
        <v>424</v>
      </c>
      <c r="S27" s="31" t="s">
        <v>856</v>
      </c>
      <c r="T27" s="31">
        <v>2.98E-3</v>
      </c>
      <c r="U27" s="31">
        <v>7.7840000000000006E-2</v>
      </c>
      <c r="V27" s="31">
        <v>0.17347000000000001</v>
      </c>
      <c r="W27" s="31">
        <v>0.22678000000000001</v>
      </c>
      <c r="X27" s="31">
        <v>91.548609999999996</v>
      </c>
    </row>
    <row r="28" spans="1:24" x14ac:dyDescent="0.25">
      <c r="A28">
        <v>1304</v>
      </c>
      <c r="B28"/>
      <c r="C28">
        <v>13659</v>
      </c>
      <c r="D28">
        <v>5201</v>
      </c>
      <c r="E28"/>
      <c r="F28"/>
      <c r="G28">
        <v>979</v>
      </c>
      <c r="H28">
        <v>3406</v>
      </c>
      <c r="I28">
        <v>24549</v>
      </c>
      <c r="J28">
        <v>250</v>
      </c>
      <c r="K28">
        <v>14029</v>
      </c>
      <c r="L28">
        <v>10233</v>
      </c>
      <c r="M28">
        <v>18308</v>
      </c>
      <c r="N28">
        <v>6205</v>
      </c>
      <c r="O28" t="s">
        <v>820</v>
      </c>
      <c r="P28" t="s">
        <v>180</v>
      </c>
      <c r="Q28" s="31">
        <v>49865</v>
      </c>
      <c r="R28" s="31" t="s">
        <v>180</v>
      </c>
      <c r="S28" s="31" t="s">
        <v>820</v>
      </c>
      <c r="T28" s="31">
        <v>2.98E-3</v>
      </c>
      <c r="U28" s="31">
        <v>0.11182</v>
      </c>
      <c r="V28" s="31">
        <v>0.17348</v>
      </c>
      <c r="W28" s="31">
        <v>0.20524999999999999</v>
      </c>
      <c r="X28" s="31">
        <v>80.653109999999998</v>
      </c>
    </row>
    <row r="29" spans="1:24" x14ac:dyDescent="0.25">
      <c r="A29">
        <v>152</v>
      </c>
      <c r="B29"/>
      <c r="C29">
        <v>3097</v>
      </c>
      <c r="D29">
        <v>1678</v>
      </c>
      <c r="E29"/>
      <c r="F29"/>
      <c r="G29">
        <v>276</v>
      </c>
      <c r="H29">
        <v>292</v>
      </c>
      <c r="I29">
        <v>5495</v>
      </c>
      <c r="J29">
        <v>0</v>
      </c>
      <c r="K29">
        <v>3727</v>
      </c>
      <c r="L29">
        <v>1768</v>
      </c>
      <c r="M29">
        <v>4893</v>
      </c>
      <c r="N29">
        <v>602</v>
      </c>
      <c r="O29" t="s">
        <v>737</v>
      </c>
      <c r="P29" t="s">
        <v>307</v>
      </c>
      <c r="Q29" s="31">
        <v>12870</v>
      </c>
      <c r="R29" s="31" t="s">
        <v>307</v>
      </c>
      <c r="S29" s="31" t="s">
        <v>737</v>
      </c>
      <c r="T29" s="31">
        <v>2.8300000000000001E-3</v>
      </c>
      <c r="U29" s="31">
        <v>0.12906999999999999</v>
      </c>
      <c r="V29" s="31">
        <v>0.17227000000000001</v>
      </c>
      <c r="W29" s="31">
        <v>0.18609000000000001</v>
      </c>
      <c r="X29" s="31">
        <v>77.380889999999994</v>
      </c>
    </row>
    <row r="30" spans="1:24" x14ac:dyDescent="0.25">
      <c r="A30">
        <v>8581</v>
      </c>
      <c r="B30"/>
      <c r="C30">
        <v>29960</v>
      </c>
      <c r="D30">
        <v>10594</v>
      </c>
      <c r="E30"/>
      <c r="F30"/>
      <c r="G30">
        <v>1003</v>
      </c>
      <c r="H30">
        <v>9870</v>
      </c>
      <c r="I30">
        <v>60008</v>
      </c>
      <c r="J30">
        <v>312</v>
      </c>
      <c r="K30">
        <v>28358</v>
      </c>
      <c r="L30">
        <v>31213</v>
      </c>
      <c r="M30">
        <v>36145</v>
      </c>
      <c r="N30">
        <v>23738</v>
      </c>
      <c r="O30" t="s">
        <v>742</v>
      </c>
      <c r="P30" t="s">
        <v>312</v>
      </c>
      <c r="Q30" s="31">
        <v>107250</v>
      </c>
      <c r="R30" s="31" t="s">
        <v>312</v>
      </c>
      <c r="S30" s="31" t="s">
        <v>742</v>
      </c>
      <c r="T30" s="31">
        <v>2.5100000000000001E-3</v>
      </c>
      <c r="U30" s="31">
        <v>0.10246</v>
      </c>
      <c r="V30" s="31">
        <v>0.13847000000000001</v>
      </c>
      <c r="W30" s="31">
        <v>0.16977</v>
      </c>
      <c r="X30" s="31">
        <v>78.64443</v>
      </c>
    </row>
    <row r="31" spans="1:24" x14ac:dyDescent="0.25">
      <c r="A31">
        <v>50</v>
      </c>
      <c r="B31"/>
      <c r="C31">
        <v>3123</v>
      </c>
      <c r="D31">
        <v>823</v>
      </c>
      <c r="E31"/>
      <c r="F31"/>
      <c r="G31">
        <v>149</v>
      </c>
      <c r="H31">
        <v>234</v>
      </c>
      <c r="I31">
        <v>4379</v>
      </c>
      <c r="J31">
        <v>0</v>
      </c>
      <c r="K31">
        <v>3164</v>
      </c>
      <c r="L31">
        <v>1184</v>
      </c>
      <c r="M31">
        <v>4060</v>
      </c>
      <c r="N31">
        <v>288</v>
      </c>
      <c r="O31" t="s">
        <v>801</v>
      </c>
      <c r="P31" t="s">
        <v>381</v>
      </c>
      <c r="Q31" s="31">
        <v>10260</v>
      </c>
      <c r="R31" s="31" t="s">
        <v>381</v>
      </c>
      <c r="S31" s="31" t="s">
        <v>801</v>
      </c>
      <c r="T31" s="31">
        <v>2.8999999999999998E-3</v>
      </c>
      <c r="U31" s="31">
        <v>7.9780000000000004E-2</v>
      </c>
      <c r="V31" s="31">
        <v>0.20621</v>
      </c>
      <c r="W31" s="31">
        <v>0.21484</v>
      </c>
      <c r="X31" s="31">
        <v>79.701139999999995</v>
      </c>
    </row>
    <row r="32" spans="1:24" x14ac:dyDescent="0.25">
      <c r="A32">
        <v>241</v>
      </c>
      <c r="B32"/>
      <c r="C32">
        <v>6581</v>
      </c>
      <c r="D32">
        <v>3319</v>
      </c>
      <c r="E32"/>
      <c r="F32"/>
      <c r="G32">
        <v>523</v>
      </c>
      <c r="H32">
        <v>817</v>
      </c>
      <c r="I32">
        <v>11481</v>
      </c>
      <c r="J32">
        <v>0</v>
      </c>
      <c r="K32">
        <v>7275</v>
      </c>
      <c r="L32">
        <v>4206</v>
      </c>
      <c r="M32">
        <v>10384</v>
      </c>
      <c r="N32">
        <v>1097</v>
      </c>
      <c r="O32" t="s">
        <v>584</v>
      </c>
      <c r="P32" t="s">
        <v>470</v>
      </c>
      <c r="Q32" s="31">
        <v>25650</v>
      </c>
      <c r="R32" s="31" t="s">
        <v>470</v>
      </c>
      <c r="S32" s="31" t="s">
        <v>584</v>
      </c>
      <c r="T32" s="31">
        <v>3.1099999999999999E-3</v>
      </c>
      <c r="U32" s="31">
        <v>0.13141</v>
      </c>
      <c r="V32" s="31">
        <v>0.16663</v>
      </c>
      <c r="W32" s="31">
        <v>0.22244</v>
      </c>
      <c r="X32" s="31">
        <v>89.025059999999996</v>
      </c>
    </row>
    <row r="33" spans="1:24" x14ac:dyDescent="0.25">
      <c r="A33">
        <v>311</v>
      </c>
      <c r="B33"/>
      <c r="C33">
        <v>7746</v>
      </c>
      <c r="D33">
        <v>3246</v>
      </c>
      <c r="E33"/>
      <c r="F33"/>
      <c r="G33">
        <v>770</v>
      </c>
      <c r="H33">
        <v>1112</v>
      </c>
      <c r="I33">
        <v>13185</v>
      </c>
      <c r="J33">
        <v>214</v>
      </c>
      <c r="K33">
        <v>9198</v>
      </c>
      <c r="L33">
        <v>3774</v>
      </c>
      <c r="M33">
        <v>11602</v>
      </c>
      <c r="N33">
        <v>1583</v>
      </c>
      <c r="O33" t="s">
        <v>594</v>
      </c>
      <c r="P33" t="s">
        <v>189</v>
      </c>
      <c r="Q33" s="31">
        <v>29835</v>
      </c>
      <c r="R33" s="31" t="s">
        <v>189</v>
      </c>
      <c r="S33" s="31" t="s">
        <v>594</v>
      </c>
      <c r="T33" s="31">
        <v>2.81E-3</v>
      </c>
      <c r="U33" s="31">
        <v>0.10959000000000001</v>
      </c>
      <c r="V33" s="31">
        <v>0.18858</v>
      </c>
      <c r="W33" s="31">
        <v>0.19711999999999999</v>
      </c>
      <c r="X33" s="31">
        <v>73.270380000000003</v>
      </c>
    </row>
    <row r="34" spans="1:24" x14ac:dyDescent="0.25">
      <c r="A34">
        <v>39</v>
      </c>
      <c r="B34"/>
      <c r="C34">
        <v>279</v>
      </c>
      <c r="D34">
        <v>107</v>
      </c>
      <c r="E34"/>
      <c r="F34"/>
      <c r="G34">
        <v>192</v>
      </c>
      <c r="H34"/>
      <c r="I34">
        <v>617</v>
      </c>
      <c r="J34">
        <v>12</v>
      </c>
      <c r="K34">
        <v>378</v>
      </c>
      <c r="L34">
        <v>227</v>
      </c>
      <c r="M34">
        <v>516</v>
      </c>
      <c r="N34">
        <v>101</v>
      </c>
      <c r="O34" t="s">
        <v>794</v>
      </c>
      <c r="P34" t="s">
        <v>374</v>
      </c>
      <c r="Q34" s="31">
        <v>940</v>
      </c>
      <c r="R34" s="31" t="s">
        <v>374</v>
      </c>
      <c r="S34" s="31" t="s">
        <v>794</v>
      </c>
      <c r="T34" s="31">
        <v>4.8799999999999998E-3</v>
      </c>
      <c r="U34" s="31">
        <v>0.10974</v>
      </c>
      <c r="V34" s="31">
        <v>0.27265</v>
      </c>
      <c r="W34" s="31">
        <v>0.27311999999999997</v>
      </c>
      <c r="X34" s="31">
        <v>94.996920000000003</v>
      </c>
    </row>
    <row r="35" spans="1:24" x14ac:dyDescent="0.25">
      <c r="A35">
        <v>922</v>
      </c>
      <c r="B35"/>
      <c r="C35">
        <v>16408</v>
      </c>
      <c r="D35">
        <v>5346</v>
      </c>
      <c r="E35"/>
      <c r="F35"/>
      <c r="G35">
        <v>464</v>
      </c>
      <c r="H35">
        <v>2847</v>
      </c>
      <c r="I35">
        <v>25987</v>
      </c>
      <c r="J35">
        <v>384</v>
      </c>
      <c r="K35">
        <v>15214</v>
      </c>
      <c r="L35">
        <v>10368</v>
      </c>
      <c r="M35">
        <v>20494</v>
      </c>
      <c r="N35">
        <v>5472</v>
      </c>
      <c r="O35" t="s">
        <v>760</v>
      </c>
      <c r="P35" t="s">
        <v>326</v>
      </c>
      <c r="Q35" s="31">
        <v>55445</v>
      </c>
      <c r="R35" s="31" t="s">
        <v>326</v>
      </c>
      <c r="S35" s="31" t="s">
        <v>760</v>
      </c>
      <c r="T35" s="31">
        <v>3.0400000000000002E-3</v>
      </c>
      <c r="U35" s="31">
        <v>9.6420000000000006E-2</v>
      </c>
      <c r="V35" s="31">
        <v>0.18659999999999999</v>
      </c>
      <c r="W35" s="31">
        <v>0.19896</v>
      </c>
      <c r="X35" s="31">
        <v>84.949029999999993</v>
      </c>
    </row>
    <row r="36" spans="1:24" x14ac:dyDescent="0.25">
      <c r="A36">
        <v>54</v>
      </c>
      <c r="B36"/>
      <c r="C36">
        <v>1341</v>
      </c>
      <c r="D36">
        <v>377</v>
      </c>
      <c r="E36"/>
      <c r="F36"/>
      <c r="G36">
        <v>370</v>
      </c>
      <c r="H36">
        <v>127</v>
      </c>
      <c r="I36">
        <v>2269</v>
      </c>
      <c r="J36">
        <v>38</v>
      </c>
      <c r="K36">
        <v>1519</v>
      </c>
      <c r="L36">
        <v>671</v>
      </c>
      <c r="M36">
        <v>1883</v>
      </c>
      <c r="N36">
        <v>345</v>
      </c>
      <c r="O36" t="s">
        <v>902</v>
      </c>
      <c r="P36" t="s">
        <v>360</v>
      </c>
      <c r="Q36" s="31">
        <v>4770</v>
      </c>
      <c r="R36" s="31" t="s">
        <v>360</v>
      </c>
      <c r="S36" s="31" t="s">
        <v>902</v>
      </c>
      <c r="T36" s="31">
        <v>3.15E-3</v>
      </c>
      <c r="U36" s="31">
        <v>7.8890000000000002E-2</v>
      </c>
      <c r="V36" s="31">
        <v>0.29669000000000001</v>
      </c>
      <c r="W36" s="31">
        <v>0.21765999999999999</v>
      </c>
      <c r="X36" s="31">
        <v>57.900709999999997</v>
      </c>
    </row>
    <row r="37" spans="1:24" x14ac:dyDescent="0.25">
      <c r="A37">
        <v>19</v>
      </c>
      <c r="B37"/>
      <c r="C37">
        <v>368</v>
      </c>
      <c r="D37">
        <v>83</v>
      </c>
      <c r="E37"/>
      <c r="F37"/>
      <c r="G37">
        <v>92</v>
      </c>
      <c r="H37">
        <v>38</v>
      </c>
      <c r="I37">
        <v>600</v>
      </c>
      <c r="J37">
        <v>7</v>
      </c>
      <c r="K37">
        <v>324</v>
      </c>
      <c r="L37">
        <v>269</v>
      </c>
      <c r="M37">
        <v>465</v>
      </c>
      <c r="N37">
        <v>135</v>
      </c>
      <c r="O37" t="s">
        <v>613</v>
      </c>
      <c r="P37" t="s">
        <v>206</v>
      </c>
      <c r="Q37" s="31">
        <v>1105</v>
      </c>
      <c r="R37" s="31" t="s">
        <v>206</v>
      </c>
      <c r="S37" s="31" t="s">
        <v>613</v>
      </c>
      <c r="T37" s="31">
        <v>2.97E-3</v>
      </c>
      <c r="U37" s="31">
        <v>7.5249999999999997E-2</v>
      </c>
      <c r="V37" s="31">
        <v>0.2001</v>
      </c>
      <c r="W37" s="31">
        <v>0.19852</v>
      </c>
      <c r="X37" s="31">
        <v>76.266549999999995</v>
      </c>
    </row>
    <row r="38" spans="1:24" x14ac:dyDescent="0.25">
      <c r="A38">
        <v>285</v>
      </c>
      <c r="B38"/>
      <c r="C38">
        <v>7044</v>
      </c>
      <c r="D38">
        <v>2950</v>
      </c>
      <c r="E38"/>
      <c r="F38"/>
      <c r="G38">
        <v>551</v>
      </c>
      <c r="H38">
        <v>932</v>
      </c>
      <c r="I38">
        <v>11762</v>
      </c>
      <c r="J38">
        <v>7</v>
      </c>
      <c r="K38">
        <v>6711</v>
      </c>
      <c r="L38">
        <v>4905</v>
      </c>
      <c r="M38">
        <v>10260</v>
      </c>
      <c r="N38">
        <v>1362</v>
      </c>
      <c r="O38" t="s">
        <v>691</v>
      </c>
      <c r="P38" t="s">
        <v>273</v>
      </c>
      <c r="Q38" s="31">
        <v>25410</v>
      </c>
      <c r="R38" s="31" t="s">
        <v>273</v>
      </c>
      <c r="S38" s="31" t="s">
        <v>691</v>
      </c>
      <c r="T38" s="31">
        <v>3.4299999999999999E-3</v>
      </c>
      <c r="U38" s="31">
        <v>0.11751</v>
      </c>
      <c r="V38" s="31">
        <v>0.19097</v>
      </c>
      <c r="W38" s="31">
        <v>0.22269</v>
      </c>
      <c r="X38" s="31">
        <v>89.252510000000001</v>
      </c>
    </row>
    <row r="39" spans="1:24" x14ac:dyDescent="0.25">
      <c r="A39">
        <v>1924</v>
      </c>
      <c r="B39"/>
      <c r="C39">
        <v>19402</v>
      </c>
      <c r="D39">
        <v>5134</v>
      </c>
      <c r="E39"/>
      <c r="F39"/>
      <c r="G39">
        <v>443</v>
      </c>
      <c r="H39">
        <v>4875</v>
      </c>
      <c r="I39">
        <v>31778</v>
      </c>
      <c r="J39">
        <v>68</v>
      </c>
      <c r="K39">
        <v>18177</v>
      </c>
      <c r="L39">
        <v>13304</v>
      </c>
      <c r="M39">
        <v>22106</v>
      </c>
      <c r="N39">
        <v>9443</v>
      </c>
      <c r="O39" t="s">
        <v>763</v>
      </c>
      <c r="P39" t="s">
        <v>329</v>
      </c>
      <c r="Q39" s="31">
        <v>67085</v>
      </c>
      <c r="R39" s="31" t="s">
        <v>329</v>
      </c>
      <c r="S39" s="31" t="s">
        <v>763</v>
      </c>
      <c r="T39" s="31">
        <v>2.6199999999999999E-3</v>
      </c>
      <c r="U39" s="31">
        <v>8.3250000000000005E-2</v>
      </c>
      <c r="V39" s="31">
        <v>0.17549999999999999</v>
      </c>
      <c r="W39" s="31">
        <v>0.18412999999999999</v>
      </c>
      <c r="X39" s="31">
        <v>76.389439999999993</v>
      </c>
    </row>
    <row r="40" spans="1:24" x14ac:dyDescent="0.25">
      <c r="A40">
        <v>604</v>
      </c>
      <c r="B40"/>
      <c r="C40">
        <v>10139</v>
      </c>
      <c r="D40">
        <v>3274</v>
      </c>
      <c r="E40"/>
      <c r="F40"/>
      <c r="G40">
        <v>1927</v>
      </c>
      <c r="H40">
        <v>1464</v>
      </c>
      <c r="I40">
        <v>17408</v>
      </c>
      <c r="J40">
        <v>167</v>
      </c>
      <c r="K40">
        <v>12134</v>
      </c>
      <c r="L40">
        <v>4926</v>
      </c>
      <c r="M40">
        <v>15224</v>
      </c>
      <c r="N40">
        <v>2003</v>
      </c>
      <c r="O40" t="s">
        <v>698</v>
      </c>
      <c r="P40" t="s">
        <v>280</v>
      </c>
      <c r="Q40" s="31">
        <v>35710</v>
      </c>
      <c r="R40" s="31" t="s">
        <v>280</v>
      </c>
      <c r="S40" s="31" t="s">
        <v>698</v>
      </c>
      <c r="T40" s="31">
        <v>3.3400000000000001E-3</v>
      </c>
      <c r="U40" s="31">
        <v>9.6600000000000005E-2</v>
      </c>
      <c r="V40" s="31">
        <v>0.20416999999999999</v>
      </c>
      <c r="W40" s="31">
        <v>0.22139</v>
      </c>
      <c r="X40" s="31">
        <v>84.328019999999995</v>
      </c>
    </row>
    <row r="41" spans="1:24" x14ac:dyDescent="0.25">
      <c r="A41">
        <v>1879</v>
      </c>
      <c r="B41"/>
      <c r="C41">
        <v>30583</v>
      </c>
      <c r="D41">
        <v>12715</v>
      </c>
      <c r="E41"/>
      <c r="F41"/>
      <c r="G41">
        <v>3346</v>
      </c>
      <c r="H41">
        <v>7569</v>
      </c>
      <c r="I41">
        <v>56092</v>
      </c>
      <c r="J41">
        <v>1039</v>
      </c>
      <c r="K41">
        <v>32965</v>
      </c>
      <c r="L41">
        <v>21994</v>
      </c>
      <c r="M41">
        <v>43492</v>
      </c>
      <c r="N41">
        <v>12506</v>
      </c>
      <c r="O41" t="s">
        <v>604</v>
      </c>
      <c r="P41" t="s">
        <v>200</v>
      </c>
      <c r="Q41" s="31">
        <v>107970</v>
      </c>
      <c r="R41" s="31" t="s">
        <v>200</v>
      </c>
      <c r="S41" s="31" t="s">
        <v>604</v>
      </c>
      <c r="T41" s="31">
        <v>3.2100000000000002E-3</v>
      </c>
      <c r="U41" s="31">
        <v>0.12057</v>
      </c>
      <c r="V41" s="31">
        <v>0.16116</v>
      </c>
      <c r="W41" s="31">
        <v>0.21102000000000001</v>
      </c>
      <c r="X41" s="31">
        <v>93.210599999999999</v>
      </c>
    </row>
    <row r="42" spans="1:24" x14ac:dyDescent="0.25">
      <c r="A42">
        <v>1282</v>
      </c>
      <c r="B42"/>
      <c r="C42">
        <v>14950</v>
      </c>
      <c r="D42">
        <v>4899</v>
      </c>
      <c r="E42"/>
      <c r="F42"/>
      <c r="G42">
        <v>680</v>
      </c>
      <c r="H42">
        <v>3498</v>
      </c>
      <c r="I42">
        <v>25309</v>
      </c>
      <c r="J42">
        <v>116</v>
      </c>
      <c r="K42">
        <v>15365</v>
      </c>
      <c r="L42">
        <v>9806</v>
      </c>
      <c r="M42">
        <v>18954</v>
      </c>
      <c r="N42">
        <v>6333</v>
      </c>
      <c r="O42" t="s">
        <v>639</v>
      </c>
      <c r="P42" t="s">
        <v>225</v>
      </c>
      <c r="Q42" s="31">
        <v>54610</v>
      </c>
      <c r="R42" s="31" t="s">
        <v>225</v>
      </c>
      <c r="S42" s="31" t="s">
        <v>639</v>
      </c>
      <c r="T42" s="31">
        <v>2.98E-3</v>
      </c>
      <c r="U42" s="31">
        <v>0.10020999999999999</v>
      </c>
      <c r="V42" s="31">
        <v>0.15886</v>
      </c>
      <c r="W42" s="31">
        <v>0.20169999999999999</v>
      </c>
      <c r="X42" s="31">
        <v>92.684659999999994</v>
      </c>
    </row>
    <row r="43" spans="1:24" x14ac:dyDescent="0.25">
      <c r="A43">
        <v>1930</v>
      </c>
      <c r="B43"/>
      <c r="C43">
        <v>9403</v>
      </c>
      <c r="D43">
        <v>2845</v>
      </c>
      <c r="E43"/>
      <c r="F43"/>
      <c r="G43">
        <v>360</v>
      </c>
      <c r="H43">
        <v>2999</v>
      </c>
      <c r="I43">
        <v>17537</v>
      </c>
      <c r="J43">
        <v>407</v>
      </c>
      <c r="K43">
        <v>9410</v>
      </c>
      <c r="L43">
        <v>7721</v>
      </c>
      <c r="M43">
        <v>12646</v>
      </c>
      <c r="N43">
        <v>4891</v>
      </c>
      <c r="O43" t="s">
        <v>768</v>
      </c>
      <c r="P43" t="s">
        <v>334</v>
      </c>
      <c r="Q43" s="31">
        <v>32850</v>
      </c>
      <c r="R43" s="31" t="s">
        <v>334</v>
      </c>
      <c r="S43" s="31" t="s">
        <v>768</v>
      </c>
      <c r="T43" s="31">
        <v>2.5100000000000001E-3</v>
      </c>
      <c r="U43" s="31">
        <v>9.8100000000000007E-2</v>
      </c>
      <c r="V43" s="31">
        <v>0.15359999999999999</v>
      </c>
      <c r="W43" s="31">
        <v>0.18515999999999999</v>
      </c>
      <c r="X43" s="31">
        <v>74.720230000000001</v>
      </c>
    </row>
    <row r="44" spans="1:24" x14ac:dyDescent="0.25">
      <c r="A44">
        <v>28</v>
      </c>
      <c r="B44"/>
      <c r="C44">
        <v>2760</v>
      </c>
      <c r="D44">
        <v>1134</v>
      </c>
      <c r="E44"/>
      <c r="F44"/>
      <c r="G44">
        <v>592</v>
      </c>
      <c r="H44">
        <v>134</v>
      </c>
      <c r="I44">
        <v>4648</v>
      </c>
      <c r="J44">
        <v>1</v>
      </c>
      <c r="K44">
        <v>3475</v>
      </c>
      <c r="L44">
        <v>1119</v>
      </c>
      <c r="M44">
        <v>4391</v>
      </c>
      <c r="N44">
        <v>205</v>
      </c>
      <c r="O44" t="s">
        <v>765</v>
      </c>
      <c r="P44" t="s">
        <v>331</v>
      </c>
      <c r="Q44" s="31">
        <v>10880</v>
      </c>
      <c r="R44" s="31" t="s">
        <v>331</v>
      </c>
      <c r="S44" s="31" t="s">
        <v>765</v>
      </c>
      <c r="T44" s="31">
        <v>2.5500000000000002E-3</v>
      </c>
      <c r="U44" s="31">
        <v>0.10409</v>
      </c>
      <c r="V44" s="31">
        <v>0.21074000000000001</v>
      </c>
      <c r="W44" s="31">
        <v>0.17852999999999999</v>
      </c>
      <c r="X44" s="31">
        <v>59.304850000000002</v>
      </c>
    </row>
    <row r="45" spans="1:24" x14ac:dyDescent="0.25">
      <c r="A45">
        <v>2255</v>
      </c>
      <c r="B45"/>
      <c r="C45">
        <v>21266</v>
      </c>
      <c r="D45">
        <v>5117</v>
      </c>
      <c r="E45"/>
      <c r="F45"/>
      <c r="G45">
        <v>1020</v>
      </c>
      <c r="H45">
        <v>4642</v>
      </c>
      <c r="I45">
        <v>34300</v>
      </c>
      <c r="J45">
        <v>20</v>
      </c>
      <c r="K45">
        <v>18665</v>
      </c>
      <c r="L45">
        <v>15603</v>
      </c>
      <c r="M45">
        <v>24349</v>
      </c>
      <c r="N45">
        <v>9940</v>
      </c>
      <c r="O45" t="s">
        <v>788</v>
      </c>
      <c r="P45" t="s">
        <v>367</v>
      </c>
      <c r="Q45" s="31">
        <v>72375</v>
      </c>
      <c r="R45" s="31" t="s">
        <v>367</v>
      </c>
      <c r="S45" s="31" t="s">
        <v>788</v>
      </c>
      <c r="T45" s="31">
        <v>2.7799999999999999E-3</v>
      </c>
      <c r="U45" s="31">
        <v>7.3410000000000003E-2</v>
      </c>
      <c r="V45" s="31">
        <v>0.16503999999999999</v>
      </c>
      <c r="W45" s="31">
        <v>0.18543000000000001</v>
      </c>
      <c r="X45" s="31">
        <v>85.940460000000002</v>
      </c>
    </row>
    <row r="46" spans="1:24" x14ac:dyDescent="0.25">
      <c r="A46">
        <v>138</v>
      </c>
      <c r="B46"/>
      <c r="C46">
        <v>7265</v>
      </c>
      <c r="D46">
        <v>1129</v>
      </c>
      <c r="E46"/>
      <c r="F46"/>
      <c r="G46">
        <v>209</v>
      </c>
      <c r="H46">
        <v>915</v>
      </c>
      <c r="I46">
        <v>9656</v>
      </c>
      <c r="J46">
        <v>0</v>
      </c>
      <c r="K46">
        <v>6405</v>
      </c>
      <c r="L46">
        <v>3251</v>
      </c>
      <c r="M46">
        <v>8173</v>
      </c>
      <c r="N46">
        <v>1483</v>
      </c>
      <c r="O46" t="s">
        <v>930</v>
      </c>
      <c r="P46" t="s">
        <v>523</v>
      </c>
      <c r="Q46" s="31">
        <v>21875</v>
      </c>
      <c r="R46" s="31" t="s">
        <v>523</v>
      </c>
      <c r="S46" s="31" t="s">
        <v>930</v>
      </c>
      <c r="T46" s="31">
        <v>2.9399999999999999E-3</v>
      </c>
      <c r="U46" s="31">
        <v>5.0229999999999997E-2</v>
      </c>
      <c r="V46" s="31">
        <v>0.26045000000000001</v>
      </c>
      <c r="W46" s="31">
        <v>0.20463000000000001</v>
      </c>
      <c r="X46" s="31">
        <v>67.686530000000005</v>
      </c>
    </row>
    <row r="47" spans="1:24" x14ac:dyDescent="0.25">
      <c r="A47">
        <v>476</v>
      </c>
      <c r="B47"/>
      <c r="C47">
        <v>7139</v>
      </c>
      <c r="D47">
        <v>2670</v>
      </c>
      <c r="E47"/>
      <c r="F47"/>
      <c r="G47">
        <v>730</v>
      </c>
      <c r="H47">
        <v>617</v>
      </c>
      <c r="I47">
        <v>11632</v>
      </c>
      <c r="J47">
        <v>6</v>
      </c>
      <c r="K47">
        <v>8887</v>
      </c>
      <c r="L47">
        <v>2733</v>
      </c>
      <c r="M47">
        <v>10329</v>
      </c>
      <c r="N47">
        <v>1297</v>
      </c>
      <c r="O47" t="s">
        <v>761</v>
      </c>
      <c r="P47" t="s">
        <v>327</v>
      </c>
      <c r="Q47" s="31">
        <v>27620</v>
      </c>
      <c r="R47" s="31" t="s">
        <v>327</v>
      </c>
      <c r="S47" s="31" t="s">
        <v>761</v>
      </c>
      <c r="T47" s="31">
        <v>2.96E-3</v>
      </c>
      <c r="U47" s="31">
        <v>9.7189999999999999E-2</v>
      </c>
      <c r="V47" s="31">
        <v>0.24079999999999999</v>
      </c>
      <c r="W47" s="31">
        <v>0.19522999999999999</v>
      </c>
      <c r="X47" s="31">
        <v>62.119979999999998</v>
      </c>
    </row>
    <row r="48" spans="1:24" x14ac:dyDescent="0.25">
      <c r="A48">
        <v>5389</v>
      </c>
      <c r="B48"/>
      <c r="C48">
        <v>26300</v>
      </c>
      <c r="D48">
        <v>6386</v>
      </c>
      <c r="E48"/>
      <c r="F48"/>
      <c r="G48">
        <v>878</v>
      </c>
      <c r="H48">
        <v>5941</v>
      </c>
      <c r="I48">
        <v>44894</v>
      </c>
      <c r="J48">
        <v>295</v>
      </c>
      <c r="K48">
        <v>24924</v>
      </c>
      <c r="L48">
        <v>19649</v>
      </c>
      <c r="M48">
        <v>30369</v>
      </c>
      <c r="N48">
        <v>14499</v>
      </c>
      <c r="O48" t="s">
        <v>656</v>
      </c>
      <c r="P48" t="s">
        <v>242</v>
      </c>
      <c r="Q48" s="31">
        <v>96095</v>
      </c>
      <c r="R48" s="31" t="s">
        <v>242</v>
      </c>
      <c r="S48" s="31" t="s">
        <v>656</v>
      </c>
      <c r="T48" s="31">
        <v>2.47E-3</v>
      </c>
      <c r="U48" s="31">
        <v>6.7280000000000006E-2</v>
      </c>
      <c r="V48" s="31">
        <v>0.17365</v>
      </c>
      <c r="W48" s="31">
        <v>0.16841999999999999</v>
      </c>
      <c r="X48" s="31">
        <v>70.983379999999997</v>
      </c>
    </row>
    <row r="49" spans="1:24" x14ac:dyDescent="0.25">
      <c r="A49">
        <v>5729</v>
      </c>
      <c r="B49"/>
      <c r="C49">
        <v>43389</v>
      </c>
      <c r="D49">
        <v>13833</v>
      </c>
      <c r="E49"/>
      <c r="F49"/>
      <c r="G49">
        <v>831</v>
      </c>
      <c r="H49">
        <v>13434</v>
      </c>
      <c r="I49">
        <v>77216</v>
      </c>
      <c r="J49">
        <v>832</v>
      </c>
      <c r="K49">
        <v>37268</v>
      </c>
      <c r="L49">
        <v>39093</v>
      </c>
      <c r="M49">
        <v>48454</v>
      </c>
      <c r="N49">
        <v>28740</v>
      </c>
      <c r="O49" t="s">
        <v>539</v>
      </c>
      <c r="P49" t="s">
        <v>137</v>
      </c>
      <c r="Q49" s="31">
        <v>158520</v>
      </c>
      <c r="R49" s="31" t="s">
        <v>137</v>
      </c>
      <c r="S49" s="31" t="s">
        <v>539</v>
      </c>
      <c r="T49" s="31">
        <v>2.5400000000000002E-3</v>
      </c>
      <c r="U49" s="31">
        <v>9.579E-2</v>
      </c>
      <c r="V49" s="31">
        <v>0.15840000000000001</v>
      </c>
      <c r="W49" s="31">
        <v>0.16943</v>
      </c>
      <c r="X49" s="31">
        <v>76.64967</v>
      </c>
    </row>
    <row r="50" spans="1:24" x14ac:dyDescent="0.25">
      <c r="A50">
        <v>420</v>
      </c>
      <c r="B50"/>
      <c r="C50">
        <v>7339</v>
      </c>
      <c r="D50">
        <v>1595</v>
      </c>
      <c r="E50"/>
      <c r="F50"/>
      <c r="G50">
        <v>514</v>
      </c>
      <c r="H50">
        <v>667</v>
      </c>
      <c r="I50">
        <v>10535</v>
      </c>
      <c r="J50">
        <v>195</v>
      </c>
      <c r="K50">
        <v>7065</v>
      </c>
      <c r="L50">
        <v>3268</v>
      </c>
      <c r="M50">
        <v>8963</v>
      </c>
      <c r="N50">
        <v>1565</v>
      </c>
      <c r="O50" t="s">
        <v>701</v>
      </c>
      <c r="P50" t="s">
        <v>283</v>
      </c>
      <c r="Q50" s="31">
        <v>24305</v>
      </c>
      <c r="R50" s="31" t="s">
        <v>283</v>
      </c>
      <c r="S50" s="31" t="s">
        <v>701</v>
      </c>
      <c r="T50" s="31">
        <v>3.4499999999999999E-3</v>
      </c>
      <c r="U50" s="31">
        <v>6.547E-2</v>
      </c>
      <c r="V50" s="31">
        <v>0.27709</v>
      </c>
      <c r="W50" s="31">
        <v>0.22</v>
      </c>
      <c r="X50" s="31">
        <v>71.774600000000007</v>
      </c>
    </row>
    <row r="51" spans="1:24" x14ac:dyDescent="0.25">
      <c r="A51">
        <v>682</v>
      </c>
      <c r="B51"/>
      <c r="C51">
        <v>16364</v>
      </c>
      <c r="D51">
        <v>4437</v>
      </c>
      <c r="E51"/>
      <c r="F51"/>
      <c r="G51">
        <v>693</v>
      </c>
      <c r="H51">
        <v>1991</v>
      </c>
      <c r="I51">
        <v>24167</v>
      </c>
      <c r="J51">
        <v>177</v>
      </c>
      <c r="K51">
        <v>15962</v>
      </c>
      <c r="L51">
        <v>8013</v>
      </c>
      <c r="M51">
        <v>20735</v>
      </c>
      <c r="N51">
        <v>3417</v>
      </c>
      <c r="O51" t="s">
        <v>735</v>
      </c>
      <c r="P51" t="s">
        <v>305</v>
      </c>
      <c r="Q51" s="31">
        <v>59080</v>
      </c>
      <c r="R51" s="31" t="s">
        <v>305</v>
      </c>
      <c r="S51" s="31" t="s">
        <v>735</v>
      </c>
      <c r="T51" s="31">
        <v>2.66E-3</v>
      </c>
      <c r="U51" s="31">
        <v>7.7020000000000005E-2</v>
      </c>
      <c r="V51" s="31">
        <v>0.22056999999999999</v>
      </c>
      <c r="W51" s="31">
        <v>0.17362</v>
      </c>
      <c r="X51" s="31">
        <v>65.983949999999993</v>
      </c>
    </row>
    <row r="52" spans="1:24" x14ac:dyDescent="0.25">
      <c r="A52">
        <v>428</v>
      </c>
      <c r="B52"/>
      <c r="C52">
        <v>10438</v>
      </c>
      <c r="D52">
        <v>2189</v>
      </c>
      <c r="E52"/>
      <c r="F52"/>
      <c r="G52">
        <v>694</v>
      </c>
      <c r="H52">
        <v>1454</v>
      </c>
      <c r="I52">
        <v>15203</v>
      </c>
      <c r="J52">
        <v>6</v>
      </c>
      <c r="K52">
        <v>10556</v>
      </c>
      <c r="L52">
        <v>4640</v>
      </c>
      <c r="M52">
        <v>12779</v>
      </c>
      <c r="N52">
        <v>2423</v>
      </c>
      <c r="O52" t="s">
        <v>868</v>
      </c>
      <c r="P52" t="s">
        <v>455</v>
      </c>
      <c r="Q52" s="31">
        <v>35670</v>
      </c>
      <c r="R52" s="31" t="s">
        <v>455</v>
      </c>
      <c r="S52" s="31" t="s">
        <v>868</v>
      </c>
      <c r="T52" s="31">
        <v>3.0000000000000001E-3</v>
      </c>
      <c r="U52" s="31">
        <v>6.1350000000000002E-2</v>
      </c>
      <c r="V52" s="31">
        <v>0.23677999999999999</v>
      </c>
      <c r="W52" s="31">
        <v>0.20224</v>
      </c>
      <c r="X52" s="31">
        <v>73.020820000000001</v>
      </c>
    </row>
    <row r="53" spans="1:24" x14ac:dyDescent="0.25">
      <c r="A53">
        <v>3590</v>
      </c>
      <c r="B53"/>
      <c r="C53">
        <v>24424</v>
      </c>
      <c r="D53">
        <v>6110</v>
      </c>
      <c r="E53"/>
      <c r="F53"/>
      <c r="G53">
        <v>597</v>
      </c>
      <c r="H53">
        <v>6105</v>
      </c>
      <c r="I53">
        <v>40826</v>
      </c>
      <c r="J53">
        <v>542</v>
      </c>
      <c r="K53">
        <v>22000</v>
      </c>
      <c r="L53">
        <v>18176</v>
      </c>
      <c r="M53">
        <v>28221</v>
      </c>
      <c r="N53">
        <v>12497</v>
      </c>
      <c r="O53" t="s">
        <v>699</v>
      </c>
      <c r="P53" t="s">
        <v>281</v>
      </c>
      <c r="Q53" s="31">
        <v>80880</v>
      </c>
      <c r="R53" s="31" t="s">
        <v>281</v>
      </c>
      <c r="S53" s="31" t="s">
        <v>699</v>
      </c>
      <c r="T53" s="31">
        <v>2.8600000000000001E-3</v>
      </c>
      <c r="U53" s="31">
        <v>7.8070000000000001E-2</v>
      </c>
      <c r="V53" s="31">
        <v>0.18739</v>
      </c>
      <c r="W53" s="31">
        <v>0.18773999999999999</v>
      </c>
      <c r="X53" s="31">
        <v>77.541259999999994</v>
      </c>
    </row>
    <row r="54" spans="1:24" x14ac:dyDescent="0.25">
      <c r="A54">
        <v>1131</v>
      </c>
      <c r="B54"/>
      <c r="C54">
        <v>14065</v>
      </c>
      <c r="D54">
        <v>3626</v>
      </c>
      <c r="E54"/>
      <c r="F54"/>
      <c r="G54">
        <v>957</v>
      </c>
      <c r="H54">
        <v>2229</v>
      </c>
      <c r="I54">
        <v>22008</v>
      </c>
      <c r="J54">
        <v>71</v>
      </c>
      <c r="K54">
        <v>13170</v>
      </c>
      <c r="L54">
        <v>8649</v>
      </c>
      <c r="M54">
        <v>16787</v>
      </c>
      <c r="N54">
        <v>5103</v>
      </c>
      <c r="O54" t="s">
        <v>631</v>
      </c>
      <c r="P54" t="s">
        <v>428</v>
      </c>
      <c r="Q54" s="31">
        <v>51070</v>
      </c>
      <c r="R54" s="31" t="s">
        <v>428</v>
      </c>
      <c r="S54" s="31" t="s">
        <v>631</v>
      </c>
      <c r="T54" s="31">
        <v>2.5600000000000002E-3</v>
      </c>
      <c r="U54" s="31">
        <v>7.485E-2</v>
      </c>
      <c r="V54" s="31">
        <v>0.19717999999999999</v>
      </c>
      <c r="W54" s="31">
        <v>0.16145999999999999</v>
      </c>
      <c r="X54" s="31">
        <v>68.269829999999999</v>
      </c>
    </row>
    <row r="55" spans="1:24" x14ac:dyDescent="0.25">
      <c r="A55">
        <v>374</v>
      </c>
      <c r="B55"/>
      <c r="C55">
        <v>6802</v>
      </c>
      <c r="D55">
        <v>1565</v>
      </c>
      <c r="E55"/>
      <c r="F55"/>
      <c r="G55">
        <v>449</v>
      </c>
      <c r="H55">
        <v>572</v>
      </c>
      <c r="I55">
        <v>9762</v>
      </c>
      <c r="J55">
        <v>144</v>
      </c>
      <c r="K55">
        <v>6691</v>
      </c>
      <c r="L55">
        <v>2926</v>
      </c>
      <c r="M55">
        <v>8357</v>
      </c>
      <c r="N55">
        <v>1405</v>
      </c>
      <c r="O55" t="s">
        <v>756</v>
      </c>
      <c r="P55" t="s">
        <v>322</v>
      </c>
      <c r="Q55" s="31">
        <v>22745</v>
      </c>
      <c r="R55" s="31" t="s">
        <v>322</v>
      </c>
      <c r="S55" s="31" t="s">
        <v>756</v>
      </c>
      <c r="T55" s="31">
        <v>3.16E-3</v>
      </c>
      <c r="U55" s="31">
        <v>6.9409999999999999E-2</v>
      </c>
      <c r="V55" s="31">
        <v>0.22134999999999999</v>
      </c>
      <c r="W55" s="31">
        <v>0.21537999999999999</v>
      </c>
      <c r="X55" s="31">
        <v>80.252420000000001</v>
      </c>
    </row>
    <row r="56" spans="1:24" x14ac:dyDescent="0.25">
      <c r="A56">
        <v>322</v>
      </c>
      <c r="B56"/>
      <c r="C56">
        <v>13918</v>
      </c>
      <c r="D56">
        <v>2286</v>
      </c>
      <c r="E56"/>
      <c r="F56"/>
      <c r="G56">
        <v>1691</v>
      </c>
      <c r="H56">
        <v>1848</v>
      </c>
      <c r="I56">
        <v>20065</v>
      </c>
      <c r="J56">
        <v>214</v>
      </c>
      <c r="K56">
        <v>12965</v>
      </c>
      <c r="L56">
        <v>6797</v>
      </c>
      <c r="M56">
        <v>17384</v>
      </c>
      <c r="N56">
        <v>2592</v>
      </c>
      <c r="O56" t="s">
        <v>858</v>
      </c>
      <c r="P56" t="s">
        <v>506</v>
      </c>
      <c r="Q56" s="31">
        <v>46530</v>
      </c>
      <c r="R56" s="31" t="s">
        <v>506</v>
      </c>
      <c r="S56" s="31" t="s">
        <v>858</v>
      </c>
      <c r="T56" s="31">
        <v>2.32E-3</v>
      </c>
      <c r="U56" s="31">
        <v>5.33E-2</v>
      </c>
      <c r="V56" s="31">
        <v>0.21831</v>
      </c>
      <c r="W56" s="31">
        <v>0.16137000000000001</v>
      </c>
      <c r="X56" s="31">
        <v>60.483289999999997</v>
      </c>
    </row>
    <row r="57" spans="1:24" x14ac:dyDescent="0.25">
      <c r="A57">
        <v>925</v>
      </c>
      <c r="B57"/>
      <c r="C57">
        <v>9987</v>
      </c>
      <c r="D57">
        <v>1830</v>
      </c>
      <c r="E57"/>
      <c r="F57"/>
      <c r="G57">
        <v>239</v>
      </c>
      <c r="H57">
        <v>1638</v>
      </c>
      <c r="I57">
        <v>14619</v>
      </c>
      <c r="J57">
        <v>119</v>
      </c>
      <c r="K57">
        <v>8549</v>
      </c>
      <c r="L57">
        <v>5951</v>
      </c>
      <c r="M57">
        <v>11273</v>
      </c>
      <c r="N57">
        <v>3346</v>
      </c>
      <c r="O57" t="s">
        <v>730</v>
      </c>
      <c r="P57" t="s">
        <v>485</v>
      </c>
      <c r="Q57" s="31">
        <v>31975</v>
      </c>
      <c r="R57" s="31" t="s">
        <v>485</v>
      </c>
      <c r="S57" s="31" t="s">
        <v>730</v>
      </c>
      <c r="T57" s="31">
        <v>2.99E-3</v>
      </c>
      <c r="U57" s="31">
        <v>5.5780000000000003E-2</v>
      </c>
      <c r="V57" s="31">
        <v>0.22048000000000001</v>
      </c>
      <c r="W57" s="31">
        <v>0.21031</v>
      </c>
      <c r="X57" s="31">
        <v>77.527720000000002</v>
      </c>
    </row>
    <row r="58" spans="1:24" x14ac:dyDescent="0.25">
      <c r="A58">
        <v>240</v>
      </c>
      <c r="B58"/>
      <c r="C58">
        <v>4191</v>
      </c>
      <c r="D58">
        <v>1276</v>
      </c>
      <c r="E58"/>
      <c r="F58"/>
      <c r="G58">
        <v>1953</v>
      </c>
      <c r="H58">
        <v>512</v>
      </c>
      <c r="I58">
        <v>8172</v>
      </c>
      <c r="J58">
        <v>28</v>
      </c>
      <c r="K58">
        <v>5596</v>
      </c>
      <c r="L58">
        <v>2491</v>
      </c>
      <c r="M58">
        <v>6861</v>
      </c>
      <c r="N58">
        <v>1256</v>
      </c>
      <c r="O58" t="s">
        <v>657</v>
      </c>
      <c r="P58" t="s">
        <v>243</v>
      </c>
      <c r="Q58" s="31">
        <v>17315</v>
      </c>
      <c r="R58" s="31" t="s">
        <v>243</v>
      </c>
      <c r="S58" s="31" t="s">
        <v>657</v>
      </c>
      <c r="T58" s="31">
        <v>2.7299999999999998E-3</v>
      </c>
      <c r="U58" s="31">
        <v>7.1879999999999999E-2</v>
      </c>
      <c r="V58" s="31">
        <v>0.22894999999999999</v>
      </c>
      <c r="W58" s="31">
        <v>0.20405999999999999</v>
      </c>
      <c r="X58" s="31">
        <v>65.251410000000007</v>
      </c>
    </row>
    <row r="59" spans="1:24" x14ac:dyDescent="0.25">
      <c r="A59">
        <v>505</v>
      </c>
      <c r="B59"/>
      <c r="C59">
        <v>10818</v>
      </c>
      <c r="D59">
        <v>2644</v>
      </c>
      <c r="E59"/>
      <c r="F59"/>
      <c r="G59">
        <v>1090</v>
      </c>
      <c r="H59">
        <v>1072</v>
      </c>
      <c r="I59">
        <v>16129</v>
      </c>
      <c r="J59">
        <v>28</v>
      </c>
      <c r="K59">
        <v>11003</v>
      </c>
      <c r="L59">
        <v>5097</v>
      </c>
      <c r="M59">
        <v>14187</v>
      </c>
      <c r="N59">
        <v>1941</v>
      </c>
      <c r="O59" t="s">
        <v>885</v>
      </c>
      <c r="P59" t="s">
        <v>296</v>
      </c>
      <c r="Q59" s="31">
        <v>36465</v>
      </c>
      <c r="R59" s="31" t="s">
        <v>296</v>
      </c>
      <c r="S59" s="31" t="s">
        <v>885</v>
      </c>
      <c r="T59" s="31">
        <v>2.9499999999999999E-3</v>
      </c>
      <c r="U59" s="31">
        <v>7.4329999999999993E-2</v>
      </c>
      <c r="V59" s="31">
        <v>0.2288</v>
      </c>
      <c r="W59" s="31">
        <v>0.20152999999999999</v>
      </c>
      <c r="X59" s="31">
        <v>69.720290000000006</v>
      </c>
    </row>
    <row r="60" spans="1:24" x14ac:dyDescent="0.25">
      <c r="A60">
        <v>355</v>
      </c>
      <c r="B60"/>
      <c r="C60">
        <v>3477</v>
      </c>
      <c r="D60">
        <v>1170</v>
      </c>
      <c r="E60"/>
      <c r="F60"/>
      <c r="G60">
        <v>639</v>
      </c>
      <c r="H60">
        <v>220</v>
      </c>
      <c r="I60">
        <v>5861</v>
      </c>
      <c r="J60">
        <v>12</v>
      </c>
      <c r="K60">
        <v>4331</v>
      </c>
      <c r="L60">
        <v>1488</v>
      </c>
      <c r="M60">
        <v>4980</v>
      </c>
      <c r="N60">
        <v>851</v>
      </c>
      <c r="O60" t="s">
        <v>565</v>
      </c>
      <c r="P60" t="s">
        <v>355</v>
      </c>
      <c r="Q60" s="31">
        <v>16335</v>
      </c>
      <c r="R60" s="31" t="s">
        <v>355</v>
      </c>
      <c r="S60" s="31" t="s">
        <v>565</v>
      </c>
      <c r="T60" s="31">
        <v>1.97E-3</v>
      </c>
      <c r="U60" s="31">
        <v>7.4060000000000001E-2</v>
      </c>
      <c r="V60" s="31">
        <v>0.21385000000000001</v>
      </c>
      <c r="W60" s="31">
        <v>0.14754999999999999</v>
      </c>
      <c r="X60" s="31">
        <v>45.518450000000001</v>
      </c>
    </row>
    <row r="61" spans="1:24" x14ac:dyDescent="0.25">
      <c r="A61">
        <v>737</v>
      </c>
      <c r="B61"/>
      <c r="C61">
        <v>5200</v>
      </c>
      <c r="D61">
        <v>1447</v>
      </c>
      <c r="E61"/>
      <c r="F61"/>
      <c r="G61">
        <v>595</v>
      </c>
      <c r="H61">
        <v>467</v>
      </c>
      <c r="I61">
        <v>8446</v>
      </c>
      <c r="J61">
        <v>93</v>
      </c>
      <c r="K61">
        <v>6064</v>
      </c>
      <c r="L61">
        <v>2289</v>
      </c>
      <c r="M61">
        <v>6509</v>
      </c>
      <c r="N61">
        <v>1937</v>
      </c>
      <c r="O61" t="s">
        <v>632</v>
      </c>
      <c r="P61" t="s">
        <v>429</v>
      </c>
      <c r="Q61" s="31">
        <v>21180</v>
      </c>
      <c r="R61" s="31" t="s">
        <v>429</v>
      </c>
      <c r="S61" s="31" t="s">
        <v>632</v>
      </c>
      <c r="T61" s="31">
        <v>2.5799999999999998E-3</v>
      </c>
      <c r="U61" s="31">
        <v>6.7849999999999994E-2</v>
      </c>
      <c r="V61" s="31">
        <v>0.23652999999999999</v>
      </c>
      <c r="W61" s="31">
        <v>0.16903000000000001</v>
      </c>
      <c r="X61" s="31">
        <v>59.716009999999997</v>
      </c>
    </row>
    <row r="62" spans="1:24" x14ac:dyDescent="0.25">
      <c r="A62">
        <v>114</v>
      </c>
      <c r="B62"/>
      <c r="C62">
        <v>5120</v>
      </c>
      <c r="D62">
        <v>437</v>
      </c>
      <c r="E62"/>
      <c r="F62"/>
      <c r="G62">
        <v>80</v>
      </c>
      <c r="H62">
        <v>662</v>
      </c>
      <c r="I62">
        <v>6413</v>
      </c>
      <c r="J62">
        <v>54</v>
      </c>
      <c r="K62">
        <v>4780</v>
      </c>
      <c r="L62">
        <v>1394</v>
      </c>
      <c r="M62">
        <v>5471</v>
      </c>
      <c r="N62">
        <v>757</v>
      </c>
      <c r="O62" t="s">
        <v>793</v>
      </c>
      <c r="P62" t="s">
        <v>373</v>
      </c>
      <c r="Q62" s="31">
        <v>19460</v>
      </c>
      <c r="R62" s="31" t="s">
        <v>373</v>
      </c>
      <c r="S62" s="31" t="s">
        <v>793</v>
      </c>
      <c r="T62" s="31">
        <v>1.34E-3</v>
      </c>
      <c r="U62" s="31">
        <v>2.487E-2</v>
      </c>
      <c r="V62" s="31">
        <v>0.27554000000000001</v>
      </c>
      <c r="W62" s="31">
        <v>8.8359999999999994E-2</v>
      </c>
      <c r="X62" s="31">
        <v>31.415120000000002</v>
      </c>
    </row>
    <row r="63" spans="1:24" x14ac:dyDescent="0.25">
      <c r="A63">
        <v>295</v>
      </c>
      <c r="B63"/>
      <c r="C63">
        <v>7179</v>
      </c>
      <c r="D63">
        <v>1277</v>
      </c>
      <c r="E63"/>
      <c r="F63"/>
      <c r="G63">
        <v>493</v>
      </c>
      <c r="H63">
        <v>568</v>
      </c>
      <c r="I63">
        <v>9812</v>
      </c>
      <c r="J63">
        <v>14</v>
      </c>
      <c r="K63">
        <v>6871</v>
      </c>
      <c r="L63">
        <v>2904</v>
      </c>
      <c r="M63">
        <v>8573</v>
      </c>
      <c r="N63">
        <v>1216</v>
      </c>
      <c r="O63" t="s">
        <v>578</v>
      </c>
      <c r="P63" t="s">
        <v>166</v>
      </c>
      <c r="Q63" s="31">
        <v>23870</v>
      </c>
      <c r="R63" s="31" t="s">
        <v>166</v>
      </c>
      <c r="S63" s="31" t="s">
        <v>578</v>
      </c>
      <c r="T63" s="31">
        <v>3.0200000000000001E-3</v>
      </c>
      <c r="U63" s="31">
        <v>5.5570000000000001E-2</v>
      </c>
      <c r="V63" s="31">
        <v>0.30753999999999998</v>
      </c>
      <c r="W63" s="31">
        <v>0.19577</v>
      </c>
      <c r="X63" s="31">
        <v>58.250480000000003</v>
      </c>
    </row>
    <row r="64" spans="1:24" x14ac:dyDescent="0.25">
      <c r="A64">
        <v>5996</v>
      </c>
      <c r="B64"/>
      <c r="C64">
        <v>32927</v>
      </c>
      <c r="D64">
        <v>11178</v>
      </c>
      <c r="E64"/>
      <c r="F64"/>
      <c r="G64">
        <v>877</v>
      </c>
      <c r="H64">
        <v>7757</v>
      </c>
      <c r="I64">
        <v>58735</v>
      </c>
      <c r="J64">
        <v>234</v>
      </c>
      <c r="K64">
        <v>27456</v>
      </c>
      <c r="L64">
        <v>30910</v>
      </c>
      <c r="M64">
        <v>37828</v>
      </c>
      <c r="N64">
        <v>20772</v>
      </c>
      <c r="O64" t="s">
        <v>550</v>
      </c>
      <c r="P64" t="s">
        <v>353</v>
      </c>
      <c r="Q64" s="31">
        <v>123085</v>
      </c>
      <c r="R64" s="31" t="s">
        <v>353</v>
      </c>
      <c r="S64" s="31" t="s">
        <v>550</v>
      </c>
      <c r="T64" s="31">
        <v>2.1099999999999999E-3</v>
      </c>
      <c r="U64" s="31">
        <v>9.3299999999999994E-2</v>
      </c>
      <c r="V64" s="31">
        <v>0.16830000000000001</v>
      </c>
      <c r="W64" s="31">
        <v>0.14704999999999999</v>
      </c>
      <c r="X64" s="31">
        <v>60.078879999999998</v>
      </c>
    </row>
    <row r="65" spans="1:24" x14ac:dyDescent="0.25">
      <c r="A65">
        <v>243</v>
      </c>
      <c r="B65"/>
      <c r="C65">
        <v>3484</v>
      </c>
      <c r="D65">
        <v>983</v>
      </c>
      <c r="E65"/>
      <c r="F65"/>
      <c r="G65">
        <v>170</v>
      </c>
      <c r="H65">
        <v>58</v>
      </c>
      <c r="I65">
        <v>4938</v>
      </c>
      <c r="J65">
        <v>29</v>
      </c>
      <c r="K65">
        <v>2992</v>
      </c>
      <c r="L65">
        <v>1884</v>
      </c>
      <c r="M65">
        <v>4237</v>
      </c>
      <c r="N65">
        <v>667</v>
      </c>
      <c r="O65" t="s">
        <v>802</v>
      </c>
      <c r="P65" t="s">
        <v>382</v>
      </c>
      <c r="Q65" s="31">
        <v>10890</v>
      </c>
      <c r="R65" s="31" t="s">
        <v>382</v>
      </c>
      <c r="S65" s="31" t="s">
        <v>802</v>
      </c>
      <c r="T65" s="31">
        <v>2.8300000000000001E-3</v>
      </c>
      <c r="U65" s="31">
        <v>9.1359999999999997E-2</v>
      </c>
      <c r="V65" s="31">
        <v>0.21609999999999999</v>
      </c>
      <c r="W65" s="31">
        <v>0.19500999999999999</v>
      </c>
      <c r="X65" s="31">
        <v>74.319699999999997</v>
      </c>
    </row>
    <row r="66" spans="1:24" x14ac:dyDescent="0.25">
      <c r="A66">
        <v>805</v>
      </c>
      <c r="B66"/>
      <c r="C66">
        <v>7602</v>
      </c>
      <c r="D66">
        <v>2954</v>
      </c>
      <c r="E66"/>
      <c r="F66"/>
      <c r="G66">
        <v>596</v>
      </c>
      <c r="H66">
        <v>9</v>
      </c>
      <c r="I66">
        <v>11966</v>
      </c>
      <c r="J66">
        <v>158</v>
      </c>
      <c r="K66">
        <v>8351</v>
      </c>
      <c r="L66">
        <v>3457</v>
      </c>
      <c r="M66">
        <v>9878</v>
      </c>
      <c r="N66">
        <v>2088</v>
      </c>
      <c r="O66" t="s">
        <v>803</v>
      </c>
      <c r="P66" t="s">
        <v>383</v>
      </c>
      <c r="Q66" s="31">
        <v>26970</v>
      </c>
      <c r="R66" s="31" t="s">
        <v>383</v>
      </c>
      <c r="S66" s="31" t="s">
        <v>803</v>
      </c>
      <c r="T66" s="31">
        <v>3.0000000000000001E-3</v>
      </c>
      <c r="U66" s="31">
        <v>0.11075</v>
      </c>
      <c r="V66" s="31">
        <v>0.18973999999999999</v>
      </c>
      <c r="W66" s="31">
        <v>0.20809</v>
      </c>
      <c r="X66" s="31">
        <v>81.536169999999998</v>
      </c>
    </row>
    <row r="67" spans="1:24" x14ac:dyDescent="0.25">
      <c r="A67">
        <v>6802</v>
      </c>
      <c r="B67"/>
      <c r="C67">
        <v>43654</v>
      </c>
      <c r="D67">
        <v>19299</v>
      </c>
      <c r="E67"/>
      <c r="F67"/>
      <c r="G67">
        <v>1235</v>
      </c>
      <c r="H67">
        <v>385</v>
      </c>
      <c r="I67">
        <v>71375</v>
      </c>
      <c r="J67">
        <v>90</v>
      </c>
      <c r="K67">
        <v>40720</v>
      </c>
      <c r="L67">
        <v>30468</v>
      </c>
      <c r="M67">
        <v>51038</v>
      </c>
      <c r="N67">
        <v>20240</v>
      </c>
      <c r="O67" t="s">
        <v>845</v>
      </c>
      <c r="P67" t="s">
        <v>417</v>
      </c>
      <c r="Q67" s="31">
        <v>157435</v>
      </c>
      <c r="R67" s="31" t="s">
        <v>417</v>
      </c>
      <c r="S67" s="31" t="s">
        <v>845</v>
      </c>
      <c r="T67" s="31">
        <v>2.8500000000000001E-3</v>
      </c>
      <c r="U67" s="31">
        <v>0.12302</v>
      </c>
      <c r="V67" s="31">
        <v>0.18526999999999999</v>
      </c>
      <c r="W67" s="31">
        <v>0.19761000000000001</v>
      </c>
      <c r="X67" s="31">
        <v>77.213009999999997</v>
      </c>
    </row>
    <row r="68" spans="1:24" x14ac:dyDescent="0.25">
      <c r="A68">
        <v>14959</v>
      </c>
      <c r="B68"/>
      <c r="C68">
        <v>36051</v>
      </c>
      <c r="D68">
        <v>22279</v>
      </c>
      <c r="E68"/>
      <c r="F68"/>
      <c r="G68">
        <v>916</v>
      </c>
      <c r="H68">
        <v>422</v>
      </c>
      <c r="I68">
        <v>74627</v>
      </c>
      <c r="J68">
        <v>371</v>
      </c>
      <c r="K68">
        <v>33801</v>
      </c>
      <c r="L68">
        <v>40438</v>
      </c>
      <c r="M68">
        <v>38565</v>
      </c>
      <c r="N68">
        <v>36047</v>
      </c>
      <c r="O68" t="s">
        <v>597</v>
      </c>
      <c r="P68" t="s">
        <v>192</v>
      </c>
      <c r="Q68" s="31">
        <v>150745</v>
      </c>
      <c r="R68" s="31" t="s">
        <v>192</v>
      </c>
      <c r="S68" s="31" t="s">
        <v>597</v>
      </c>
      <c r="T68" s="31">
        <v>2.14E-3</v>
      </c>
      <c r="U68" s="31">
        <v>0.14765</v>
      </c>
      <c r="V68" s="31">
        <v>0.13220000000000001</v>
      </c>
      <c r="W68" s="31">
        <v>0.14383000000000001</v>
      </c>
      <c r="X68" s="31">
        <v>67.786299999999997</v>
      </c>
    </row>
    <row r="69" spans="1:24" x14ac:dyDescent="0.25">
      <c r="A69">
        <v>1717</v>
      </c>
      <c r="B69"/>
      <c r="C69">
        <v>14039</v>
      </c>
      <c r="D69">
        <v>5296</v>
      </c>
      <c r="E69"/>
      <c r="F69"/>
      <c r="G69">
        <v>352</v>
      </c>
      <c r="H69">
        <v>458</v>
      </c>
      <c r="I69">
        <v>21862</v>
      </c>
      <c r="J69">
        <v>394</v>
      </c>
      <c r="K69">
        <v>14231</v>
      </c>
      <c r="L69">
        <v>7186</v>
      </c>
      <c r="M69">
        <v>17347</v>
      </c>
      <c r="N69">
        <v>4466</v>
      </c>
      <c r="O69" t="s">
        <v>588</v>
      </c>
      <c r="P69" t="s">
        <v>176</v>
      </c>
      <c r="Q69" s="31">
        <v>54120</v>
      </c>
      <c r="R69" s="31" t="s">
        <v>176</v>
      </c>
      <c r="S69" s="31" t="s">
        <v>588</v>
      </c>
      <c r="T69" s="31">
        <v>2.4099999999999998E-3</v>
      </c>
      <c r="U69" s="31">
        <v>0.10088</v>
      </c>
      <c r="V69" s="31">
        <v>0.24399000000000001</v>
      </c>
      <c r="W69" s="31">
        <v>0.15783</v>
      </c>
      <c r="X69" s="31">
        <v>52.000309999999999</v>
      </c>
    </row>
    <row r="70" spans="1:24" x14ac:dyDescent="0.25">
      <c r="A70">
        <v>544</v>
      </c>
      <c r="B70"/>
      <c r="C70">
        <v>7993</v>
      </c>
      <c r="D70">
        <v>1969</v>
      </c>
      <c r="E70"/>
      <c r="F70"/>
      <c r="G70">
        <v>265</v>
      </c>
      <c r="H70"/>
      <c r="I70">
        <v>10771</v>
      </c>
      <c r="J70">
        <v>12</v>
      </c>
      <c r="K70">
        <v>7036</v>
      </c>
      <c r="L70">
        <v>3683</v>
      </c>
      <c r="M70">
        <v>9170</v>
      </c>
      <c r="N70">
        <v>1561</v>
      </c>
      <c r="O70" t="s">
        <v>602</v>
      </c>
      <c r="P70" t="s">
        <v>197</v>
      </c>
      <c r="Q70" s="31">
        <v>25260</v>
      </c>
      <c r="R70" s="31" t="s">
        <v>197</v>
      </c>
      <c r="S70" s="31" t="s">
        <v>602</v>
      </c>
      <c r="T70" s="31">
        <v>2.4299999999999999E-3</v>
      </c>
      <c r="U70" s="31">
        <v>7.8390000000000001E-2</v>
      </c>
      <c r="V70" s="31">
        <v>0.24523</v>
      </c>
      <c r="W70" s="31">
        <v>0.17166000000000001</v>
      </c>
      <c r="X70" s="31">
        <v>57.905729999999998</v>
      </c>
    </row>
    <row r="71" spans="1:24" x14ac:dyDescent="0.25">
      <c r="A71">
        <v>385</v>
      </c>
      <c r="B71"/>
      <c r="C71">
        <v>6685</v>
      </c>
      <c r="D71">
        <v>2023</v>
      </c>
      <c r="E71"/>
      <c r="F71"/>
      <c r="G71">
        <v>219</v>
      </c>
      <c r="H71"/>
      <c r="I71">
        <v>9312</v>
      </c>
      <c r="J71">
        <v>32</v>
      </c>
      <c r="K71">
        <v>5513</v>
      </c>
      <c r="L71">
        <v>3738</v>
      </c>
      <c r="M71">
        <v>8230</v>
      </c>
      <c r="N71">
        <v>1057</v>
      </c>
      <c r="O71" t="s">
        <v>688</v>
      </c>
      <c r="P71" t="s">
        <v>270</v>
      </c>
      <c r="Q71" s="31">
        <v>21125</v>
      </c>
      <c r="R71" s="31" t="s">
        <v>270</v>
      </c>
      <c r="S71" s="31" t="s">
        <v>688</v>
      </c>
      <c r="T71" s="31">
        <v>3.65E-3</v>
      </c>
      <c r="U71" s="31">
        <v>9.7070000000000004E-2</v>
      </c>
      <c r="V71" s="31">
        <v>0.25190000000000001</v>
      </c>
      <c r="W71" s="31">
        <v>0.23449999999999999</v>
      </c>
      <c r="X71" s="31">
        <v>82.442970000000003</v>
      </c>
    </row>
    <row r="72" spans="1:24" x14ac:dyDescent="0.25">
      <c r="A72">
        <v>506</v>
      </c>
      <c r="B72"/>
      <c r="C72">
        <v>6927</v>
      </c>
      <c r="D72">
        <v>2637</v>
      </c>
      <c r="E72"/>
      <c r="F72"/>
      <c r="G72">
        <v>579</v>
      </c>
      <c r="H72"/>
      <c r="I72">
        <v>10649</v>
      </c>
      <c r="J72">
        <v>12</v>
      </c>
      <c r="K72">
        <v>7833</v>
      </c>
      <c r="L72">
        <v>2804</v>
      </c>
      <c r="M72">
        <v>9840</v>
      </c>
      <c r="N72">
        <v>809</v>
      </c>
      <c r="O72" t="s">
        <v>624</v>
      </c>
      <c r="P72" t="s">
        <v>217</v>
      </c>
      <c r="Q72" s="31">
        <v>25975</v>
      </c>
      <c r="R72" s="31" t="s">
        <v>217</v>
      </c>
      <c r="S72" s="31" t="s">
        <v>624</v>
      </c>
      <c r="T72" s="31">
        <v>2.6700000000000001E-3</v>
      </c>
      <c r="U72" s="31">
        <v>0.10567</v>
      </c>
      <c r="V72" s="31">
        <v>0.26090000000000002</v>
      </c>
      <c r="W72" s="31">
        <v>0.18101999999999999</v>
      </c>
      <c r="X72" s="31">
        <v>53.388480000000001</v>
      </c>
    </row>
    <row r="73" spans="1:24" x14ac:dyDescent="0.25">
      <c r="A73">
        <v>963</v>
      </c>
      <c r="B73"/>
      <c r="C73">
        <v>8129</v>
      </c>
      <c r="D73">
        <v>2586</v>
      </c>
      <c r="E73"/>
      <c r="F73"/>
      <c r="G73">
        <v>303</v>
      </c>
      <c r="H73">
        <v>126</v>
      </c>
      <c r="I73">
        <v>12107</v>
      </c>
      <c r="J73">
        <v>102</v>
      </c>
      <c r="K73">
        <v>7377</v>
      </c>
      <c r="L73">
        <v>4627</v>
      </c>
      <c r="M73">
        <v>9043</v>
      </c>
      <c r="N73">
        <v>3064</v>
      </c>
      <c r="O73" t="s">
        <v>570</v>
      </c>
      <c r="P73" t="s">
        <v>161</v>
      </c>
      <c r="Q73" s="31">
        <v>27585</v>
      </c>
      <c r="R73" s="31" t="s">
        <v>161</v>
      </c>
      <c r="S73" s="31" t="s">
        <v>570</v>
      </c>
      <c r="T73" s="31">
        <v>2.2899999999999999E-3</v>
      </c>
      <c r="U73" s="31">
        <v>9.1899999999999996E-2</v>
      </c>
      <c r="V73" s="31">
        <v>0.21903</v>
      </c>
      <c r="W73" s="31">
        <v>0.16669</v>
      </c>
      <c r="X73" s="31">
        <v>56.74145</v>
      </c>
    </row>
    <row r="74" spans="1:24" x14ac:dyDescent="0.25">
      <c r="A74">
        <v>375</v>
      </c>
      <c r="B74"/>
      <c r="C74">
        <v>3715</v>
      </c>
      <c r="D74">
        <v>958</v>
      </c>
      <c r="E74"/>
      <c r="F74"/>
      <c r="G74">
        <v>124</v>
      </c>
      <c r="H74">
        <v>70</v>
      </c>
      <c r="I74">
        <v>5242</v>
      </c>
      <c r="J74">
        <v>0</v>
      </c>
      <c r="K74">
        <v>2688</v>
      </c>
      <c r="L74">
        <v>2529</v>
      </c>
      <c r="M74">
        <v>4122</v>
      </c>
      <c r="N74">
        <v>1095</v>
      </c>
      <c r="O74" t="s">
        <v>929</v>
      </c>
      <c r="P74" t="s">
        <v>526</v>
      </c>
      <c r="Q74" s="31">
        <v>11435</v>
      </c>
      <c r="R74" s="31" t="s">
        <v>526</v>
      </c>
      <c r="S74" s="31" t="s">
        <v>929</v>
      </c>
      <c r="T74" s="31">
        <v>3.0899999999999999E-3</v>
      </c>
      <c r="U74" s="31">
        <v>8.7300000000000003E-2</v>
      </c>
      <c r="V74" s="31">
        <v>0.19964000000000001</v>
      </c>
      <c r="W74" s="31">
        <v>0.22045000000000001</v>
      </c>
      <c r="X74" s="31">
        <v>87.165760000000006</v>
      </c>
    </row>
    <row r="75" spans="1:24" x14ac:dyDescent="0.25">
      <c r="A75">
        <v>2112</v>
      </c>
      <c r="B75"/>
      <c r="C75">
        <v>16668</v>
      </c>
      <c r="D75">
        <v>6407</v>
      </c>
      <c r="E75"/>
      <c r="F75"/>
      <c r="G75">
        <v>385</v>
      </c>
      <c r="H75">
        <v>472</v>
      </c>
      <c r="I75">
        <v>26044</v>
      </c>
      <c r="J75">
        <v>87</v>
      </c>
      <c r="K75">
        <v>15431</v>
      </c>
      <c r="L75">
        <v>10430</v>
      </c>
      <c r="M75">
        <v>19436</v>
      </c>
      <c r="N75">
        <v>6512</v>
      </c>
      <c r="O75" t="s">
        <v>621</v>
      </c>
      <c r="P75" t="s">
        <v>214</v>
      </c>
      <c r="Q75" s="31">
        <v>56420</v>
      </c>
      <c r="R75" s="31" t="s">
        <v>214</v>
      </c>
      <c r="S75" s="31" t="s">
        <v>621</v>
      </c>
      <c r="T75" s="31">
        <v>2.8999999999999998E-3</v>
      </c>
      <c r="U75" s="31">
        <v>0.12009</v>
      </c>
      <c r="V75" s="31">
        <v>0.18107000000000001</v>
      </c>
      <c r="W75" s="31">
        <v>0.19500999999999999</v>
      </c>
      <c r="X75" s="31">
        <v>83.476830000000007</v>
      </c>
    </row>
    <row r="76" spans="1:24" x14ac:dyDescent="0.25">
      <c r="A76">
        <v>403</v>
      </c>
      <c r="B76"/>
      <c r="C76">
        <v>5447</v>
      </c>
      <c r="D76">
        <v>1660</v>
      </c>
      <c r="E76"/>
      <c r="F76"/>
      <c r="G76">
        <v>271</v>
      </c>
      <c r="H76"/>
      <c r="I76">
        <v>7781</v>
      </c>
      <c r="J76">
        <v>88</v>
      </c>
      <c r="K76">
        <v>4530</v>
      </c>
      <c r="L76">
        <v>3142</v>
      </c>
      <c r="M76">
        <v>6512</v>
      </c>
      <c r="N76">
        <v>1247</v>
      </c>
      <c r="O76" t="s">
        <v>786</v>
      </c>
      <c r="P76" t="s">
        <v>365</v>
      </c>
      <c r="Q76" s="31">
        <v>18185</v>
      </c>
      <c r="R76" s="31" t="s">
        <v>365</v>
      </c>
      <c r="S76" s="31" t="s">
        <v>786</v>
      </c>
      <c r="T76" s="31">
        <v>2.63E-3</v>
      </c>
      <c r="U76" s="31">
        <v>8.8599999999999998E-2</v>
      </c>
      <c r="V76" s="31">
        <v>0.21726999999999999</v>
      </c>
      <c r="W76" s="31">
        <v>0.17510000000000001</v>
      </c>
      <c r="X76" s="31">
        <v>67.579369999999997</v>
      </c>
    </row>
    <row r="77" spans="1:24" x14ac:dyDescent="0.25">
      <c r="A77">
        <v>327</v>
      </c>
      <c r="B77"/>
      <c r="C77">
        <v>8023</v>
      </c>
      <c r="D77">
        <v>2143</v>
      </c>
      <c r="E77"/>
      <c r="F77"/>
      <c r="G77">
        <v>112</v>
      </c>
      <c r="H77">
        <v>131</v>
      </c>
      <c r="I77">
        <v>10736</v>
      </c>
      <c r="J77">
        <v>35</v>
      </c>
      <c r="K77">
        <v>6708</v>
      </c>
      <c r="L77">
        <v>3985</v>
      </c>
      <c r="M77">
        <v>9264</v>
      </c>
      <c r="N77">
        <v>1464</v>
      </c>
      <c r="O77" t="s">
        <v>713</v>
      </c>
      <c r="P77" t="s">
        <v>474</v>
      </c>
      <c r="Q77" s="31">
        <v>25590</v>
      </c>
      <c r="R77" s="31" t="s">
        <v>474</v>
      </c>
      <c r="S77" s="31" t="s">
        <v>713</v>
      </c>
      <c r="T77" s="31">
        <v>2.49E-3</v>
      </c>
      <c r="U77" s="31">
        <v>9.2160000000000006E-2</v>
      </c>
      <c r="V77" s="31">
        <v>0.23336999999999999</v>
      </c>
      <c r="W77" s="31">
        <v>0.16619999999999999</v>
      </c>
      <c r="X77" s="31">
        <v>62.47992</v>
      </c>
    </row>
    <row r="78" spans="1:24" x14ac:dyDescent="0.25">
      <c r="A78">
        <v>5149</v>
      </c>
      <c r="B78"/>
      <c r="C78">
        <v>29731</v>
      </c>
      <c r="D78">
        <v>13347</v>
      </c>
      <c r="E78"/>
      <c r="F78"/>
      <c r="G78">
        <v>1312</v>
      </c>
      <c r="H78">
        <v>678</v>
      </c>
      <c r="I78">
        <v>50217</v>
      </c>
      <c r="J78">
        <v>1123</v>
      </c>
      <c r="K78">
        <v>30858</v>
      </c>
      <c r="L78">
        <v>17658</v>
      </c>
      <c r="M78">
        <v>35165</v>
      </c>
      <c r="N78">
        <v>14988</v>
      </c>
      <c r="O78" t="s">
        <v>817</v>
      </c>
      <c r="P78" t="s">
        <v>177</v>
      </c>
      <c r="Q78" s="31">
        <v>110575</v>
      </c>
      <c r="R78" s="31" t="s">
        <v>177</v>
      </c>
      <c r="S78" s="31" t="s">
        <v>817</v>
      </c>
      <c r="T78" s="31">
        <v>2.64E-3</v>
      </c>
      <c r="U78" s="31">
        <v>0.12477000000000001</v>
      </c>
      <c r="V78" s="31">
        <v>0.20735000000000001</v>
      </c>
      <c r="W78" s="31">
        <v>0.1729</v>
      </c>
      <c r="X78" s="31">
        <v>62.274450000000002</v>
      </c>
    </row>
    <row r="79" spans="1:24" x14ac:dyDescent="0.25">
      <c r="A79">
        <v>471</v>
      </c>
      <c r="B79"/>
      <c r="C79">
        <v>6492</v>
      </c>
      <c r="D79">
        <v>2042</v>
      </c>
      <c r="E79"/>
      <c r="F79"/>
      <c r="G79">
        <v>357</v>
      </c>
      <c r="H79">
        <v>32</v>
      </c>
      <c r="I79">
        <v>9394</v>
      </c>
      <c r="J79">
        <v>38</v>
      </c>
      <c r="K79">
        <v>6005</v>
      </c>
      <c r="L79">
        <v>3342</v>
      </c>
      <c r="M79">
        <v>8112</v>
      </c>
      <c r="N79">
        <v>1273</v>
      </c>
      <c r="O79" t="s">
        <v>772</v>
      </c>
      <c r="P79" t="s">
        <v>338</v>
      </c>
      <c r="Q79" s="31">
        <v>22625</v>
      </c>
      <c r="R79" s="31" t="s">
        <v>338</v>
      </c>
      <c r="S79" s="31" t="s">
        <v>772</v>
      </c>
      <c r="T79" s="31">
        <v>2.5600000000000002E-3</v>
      </c>
      <c r="U79" s="31">
        <v>8.9550000000000005E-2</v>
      </c>
      <c r="V79" s="31">
        <v>0.21679999999999999</v>
      </c>
      <c r="W79" s="31">
        <v>0.18357000000000001</v>
      </c>
      <c r="X79" s="31">
        <v>65.192390000000003</v>
      </c>
    </row>
    <row r="80" spans="1:24" x14ac:dyDescent="0.25">
      <c r="A80">
        <v>946</v>
      </c>
      <c r="B80"/>
      <c r="C80">
        <v>8104</v>
      </c>
      <c r="D80">
        <v>4226</v>
      </c>
      <c r="E80"/>
      <c r="F80"/>
      <c r="G80">
        <v>867</v>
      </c>
      <c r="H80">
        <v>36</v>
      </c>
      <c r="I80">
        <v>14179</v>
      </c>
      <c r="J80">
        <v>160</v>
      </c>
      <c r="K80">
        <v>8872</v>
      </c>
      <c r="L80">
        <v>5118</v>
      </c>
      <c r="M80">
        <v>11261</v>
      </c>
      <c r="N80">
        <v>2890</v>
      </c>
      <c r="O80" t="s">
        <v>741</v>
      </c>
      <c r="P80" t="s">
        <v>311</v>
      </c>
      <c r="Q80" s="31">
        <v>32320</v>
      </c>
      <c r="R80" s="31" t="s">
        <v>311</v>
      </c>
      <c r="S80" s="31" t="s">
        <v>741</v>
      </c>
      <c r="T80" s="31">
        <v>3.47E-3</v>
      </c>
      <c r="U80" s="31">
        <v>0.13067999999999999</v>
      </c>
      <c r="V80" s="31">
        <v>0.19955999999999999</v>
      </c>
      <c r="W80" s="31">
        <v>0.23874000000000001</v>
      </c>
      <c r="X80" s="31">
        <v>82.869690000000006</v>
      </c>
    </row>
    <row r="81" spans="1:24" x14ac:dyDescent="0.25">
      <c r="A81">
        <v>1138</v>
      </c>
      <c r="B81"/>
      <c r="C81">
        <v>6628</v>
      </c>
      <c r="D81">
        <v>2641</v>
      </c>
      <c r="E81"/>
      <c r="F81"/>
      <c r="G81">
        <v>463</v>
      </c>
      <c r="H81">
        <v>81</v>
      </c>
      <c r="I81">
        <v>10951</v>
      </c>
      <c r="J81">
        <v>81</v>
      </c>
      <c r="K81">
        <v>6824</v>
      </c>
      <c r="L81">
        <v>4046</v>
      </c>
      <c r="M81">
        <v>8546</v>
      </c>
      <c r="N81">
        <v>2405</v>
      </c>
      <c r="O81" t="s">
        <v>554</v>
      </c>
      <c r="P81" t="s">
        <v>148</v>
      </c>
      <c r="Q81" s="31">
        <v>26020</v>
      </c>
      <c r="R81" s="31" t="s">
        <v>148</v>
      </c>
      <c r="S81" s="31" t="s">
        <v>554</v>
      </c>
      <c r="T81" s="31">
        <v>3.3899999999999998E-3</v>
      </c>
      <c r="U81" s="31">
        <v>0.10553999999999999</v>
      </c>
      <c r="V81" s="31">
        <v>0.19372</v>
      </c>
      <c r="W81" s="31">
        <v>0.22089</v>
      </c>
      <c r="X81" s="31">
        <v>86.850040000000007</v>
      </c>
    </row>
    <row r="82" spans="1:24" x14ac:dyDescent="0.25">
      <c r="A82">
        <v>593</v>
      </c>
      <c r="B82"/>
      <c r="C82">
        <v>7624</v>
      </c>
      <c r="D82">
        <v>2058</v>
      </c>
      <c r="E82"/>
      <c r="F82"/>
      <c r="G82">
        <v>463</v>
      </c>
      <c r="H82">
        <v>25</v>
      </c>
      <c r="I82">
        <v>10763</v>
      </c>
      <c r="J82">
        <v>37</v>
      </c>
      <c r="K82">
        <v>7369</v>
      </c>
      <c r="L82">
        <v>3357</v>
      </c>
      <c r="M82">
        <v>9548</v>
      </c>
      <c r="N82">
        <v>1215</v>
      </c>
      <c r="O82" t="s">
        <v>810</v>
      </c>
      <c r="P82" t="s">
        <v>169</v>
      </c>
      <c r="Q82" s="31">
        <v>26265</v>
      </c>
      <c r="R82" s="31" t="s">
        <v>169</v>
      </c>
      <c r="S82" s="31" t="s">
        <v>810</v>
      </c>
      <c r="T82" s="31">
        <v>2.5799999999999998E-3</v>
      </c>
      <c r="U82" s="31">
        <v>7.9200000000000007E-2</v>
      </c>
      <c r="V82" s="31">
        <v>0.255</v>
      </c>
      <c r="W82" s="31">
        <v>0.18157999999999999</v>
      </c>
      <c r="X82" s="31">
        <v>56.881430000000002</v>
      </c>
    </row>
    <row r="83" spans="1:24" x14ac:dyDescent="0.25">
      <c r="A83">
        <v>1426</v>
      </c>
      <c r="B83"/>
      <c r="C83">
        <v>10895</v>
      </c>
      <c r="D83">
        <v>2954</v>
      </c>
      <c r="E83"/>
      <c r="F83"/>
      <c r="G83">
        <v>573</v>
      </c>
      <c r="H83">
        <v>9</v>
      </c>
      <c r="I83">
        <v>15857</v>
      </c>
      <c r="J83">
        <v>25</v>
      </c>
      <c r="K83">
        <v>9387</v>
      </c>
      <c r="L83">
        <v>6382</v>
      </c>
      <c r="M83">
        <v>12938</v>
      </c>
      <c r="N83">
        <v>2856</v>
      </c>
      <c r="O83" t="s">
        <v>609</v>
      </c>
      <c r="P83" t="s">
        <v>205</v>
      </c>
      <c r="Q83" s="31">
        <v>34270</v>
      </c>
      <c r="R83" s="31" t="s">
        <v>205</v>
      </c>
      <c r="S83" s="31" t="s">
        <v>609</v>
      </c>
      <c r="T83" s="31">
        <v>3.3999999999999998E-3</v>
      </c>
      <c r="U83" s="31">
        <v>0.17882000000000001</v>
      </c>
      <c r="V83" s="31">
        <v>0.1066</v>
      </c>
      <c r="W83" s="31">
        <v>0.23019999999999999</v>
      </c>
      <c r="X83" s="31">
        <v>173.01481000000001</v>
      </c>
    </row>
    <row r="84" spans="1:24" x14ac:dyDescent="0.25">
      <c r="A84">
        <v>1648</v>
      </c>
      <c r="B84"/>
      <c r="C84">
        <v>11843</v>
      </c>
      <c r="D84">
        <v>5241</v>
      </c>
      <c r="E84"/>
      <c r="F84"/>
      <c r="G84">
        <v>183</v>
      </c>
      <c r="H84">
        <v>457</v>
      </c>
      <c r="I84">
        <v>19372</v>
      </c>
      <c r="J84">
        <v>145</v>
      </c>
      <c r="K84">
        <v>10861</v>
      </c>
      <c r="L84">
        <v>8251</v>
      </c>
      <c r="M84">
        <v>13320</v>
      </c>
      <c r="N84">
        <v>5937</v>
      </c>
      <c r="O84" t="s">
        <v>645</v>
      </c>
      <c r="P84" t="s">
        <v>231</v>
      </c>
      <c r="Q84" s="31">
        <v>45685</v>
      </c>
      <c r="R84" s="31" t="s">
        <v>231</v>
      </c>
      <c r="S84" s="31" t="s">
        <v>645</v>
      </c>
      <c r="T84" s="31">
        <v>2.3800000000000002E-3</v>
      </c>
      <c r="U84" s="31">
        <v>0.11527</v>
      </c>
      <c r="V84" s="31">
        <v>0.18318999999999999</v>
      </c>
      <c r="W84" s="31">
        <v>0.16919000000000001</v>
      </c>
      <c r="X84" s="31">
        <v>66.113370000000003</v>
      </c>
    </row>
    <row r="85" spans="1:24" x14ac:dyDescent="0.25">
      <c r="A85">
        <v>552</v>
      </c>
      <c r="B85"/>
      <c r="C85">
        <v>3720</v>
      </c>
      <c r="D85">
        <v>970</v>
      </c>
      <c r="E85"/>
      <c r="F85"/>
      <c r="G85">
        <v>234</v>
      </c>
      <c r="H85">
        <v>156</v>
      </c>
      <c r="I85">
        <v>5632</v>
      </c>
      <c r="J85">
        <v>83</v>
      </c>
      <c r="K85">
        <v>3489</v>
      </c>
      <c r="L85">
        <v>2060</v>
      </c>
      <c r="M85">
        <v>4673</v>
      </c>
      <c r="N85">
        <v>959</v>
      </c>
      <c r="O85" t="s">
        <v>926</v>
      </c>
      <c r="P85" t="s">
        <v>520</v>
      </c>
      <c r="Q85" s="31">
        <v>11725</v>
      </c>
      <c r="R85" s="31" t="s">
        <v>520</v>
      </c>
      <c r="S85" s="31" t="s">
        <v>926</v>
      </c>
      <c r="T85" s="31">
        <v>3.2499999999999999E-3</v>
      </c>
      <c r="U85" s="31">
        <v>0.10002999999999999</v>
      </c>
      <c r="V85" s="31">
        <v>0.24725</v>
      </c>
      <c r="W85" s="31">
        <v>0.2127</v>
      </c>
      <c r="X85" s="31">
        <v>68.107849999999999</v>
      </c>
    </row>
    <row r="86" spans="1:24" x14ac:dyDescent="0.25">
      <c r="A86">
        <v>565</v>
      </c>
      <c r="B86"/>
      <c r="C86">
        <v>4803</v>
      </c>
      <c r="D86">
        <v>2145</v>
      </c>
      <c r="E86"/>
      <c r="F86"/>
      <c r="G86">
        <v>200</v>
      </c>
      <c r="H86"/>
      <c r="I86">
        <v>7713</v>
      </c>
      <c r="J86">
        <v>25</v>
      </c>
      <c r="K86">
        <v>5021</v>
      </c>
      <c r="L86">
        <v>2654</v>
      </c>
      <c r="M86">
        <v>6308</v>
      </c>
      <c r="N86">
        <v>1394</v>
      </c>
      <c r="O86" t="s">
        <v>708</v>
      </c>
      <c r="P86" t="s">
        <v>290</v>
      </c>
      <c r="Q86" s="31">
        <v>18475</v>
      </c>
      <c r="R86" s="31" t="s">
        <v>290</v>
      </c>
      <c r="S86" s="31" t="s">
        <v>708</v>
      </c>
      <c r="T86" s="31">
        <v>3.1700000000000001E-3</v>
      </c>
      <c r="U86" s="31">
        <v>0.12411999999999999</v>
      </c>
      <c r="V86" s="31">
        <v>0.20355999999999999</v>
      </c>
      <c r="W86" s="31">
        <v>0.2195</v>
      </c>
      <c r="X86" s="31">
        <v>78.346890000000002</v>
      </c>
    </row>
    <row r="87" spans="1:24" x14ac:dyDescent="0.25">
      <c r="A87">
        <v>615</v>
      </c>
      <c r="B87"/>
      <c r="C87">
        <v>4857</v>
      </c>
      <c r="D87">
        <v>1510</v>
      </c>
      <c r="E87"/>
      <c r="F87"/>
      <c r="G87">
        <v>154</v>
      </c>
      <c r="H87">
        <v>66</v>
      </c>
      <c r="I87">
        <v>7202</v>
      </c>
      <c r="J87">
        <v>2</v>
      </c>
      <c r="K87">
        <v>5161</v>
      </c>
      <c r="L87">
        <v>2027</v>
      </c>
      <c r="M87">
        <v>6120</v>
      </c>
      <c r="N87">
        <v>1071</v>
      </c>
      <c r="O87" t="s">
        <v>872</v>
      </c>
      <c r="P87" t="s">
        <v>434</v>
      </c>
      <c r="Q87" s="31">
        <v>16315</v>
      </c>
      <c r="R87" s="31" t="s">
        <v>434</v>
      </c>
      <c r="S87" s="31" t="s">
        <v>872</v>
      </c>
      <c r="T87" s="31">
        <v>3.32E-3</v>
      </c>
      <c r="U87" s="31">
        <v>9.486E-2</v>
      </c>
      <c r="V87" s="31">
        <v>0.28442000000000001</v>
      </c>
      <c r="W87" s="31">
        <v>0.22109000000000001</v>
      </c>
      <c r="X87" s="31">
        <v>63.537149999999997</v>
      </c>
    </row>
    <row r="88" spans="1:24" x14ac:dyDescent="0.25">
      <c r="A88">
        <v>1480</v>
      </c>
      <c r="B88"/>
      <c r="C88">
        <v>8944</v>
      </c>
      <c r="D88">
        <v>3880</v>
      </c>
      <c r="E88"/>
      <c r="F88"/>
      <c r="G88">
        <v>771</v>
      </c>
      <c r="H88">
        <v>84</v>
      </c>
      <c r="I88">
        <v>15159</v>
      </c>
      <c r="J88">
        <v>28</v>
      </c>
      <c r="K88">
        <v>10452</v>
      </c>
      <c r="L88">
        <v>4655</v>
      </c>
      <c r="M88">
        <v>12664</v>
      </c>
      <c r="N88">
        <v>2472</v>
      </c>
      <c r="O88" t="s">
        <v>830</v>
      </c>
      <c r="P88" t="s">
        <v>401</v>
      </c>
      <c r="Q88" s="31">
        <v>32930</v>
      </c>
      <c r="R88" s="31" t="s">
        <v>401</v>
      </c>
      <c r="S88" s="31" t="s">
        <v>830</v>
      </c>
      <c r="T88" s="31">
        <v>3.98E-3</v>
      </c>
      <c r="U88" s="31">
        <v>0.11844</v>
      </c>
      <c r="V88" s="31">
        <v>0.25191000000000002</v>
      </c>
      <c r="W88" s="31">
        <v>0.25923000000000002</v>
      </c>
      <c r="X88" s="31">
        <v>77.117869999999996</v>
      </c>
    </row>
    <row r="89" spans="1:24" x14ac:dyDescent="0.25">
      <c r="A89">
        <v>414</v>
      </c>
      <c r="B89"/>
      <c r="C89">
        <v>6816</v>
      </c>
      <c r="D89">
        <v>2143</v>
      </c>
      <c r="E89"/>
      <c r="F89"/>
      <c r="G89">
        <v>510</v>
      </c>
      <c r="H89">
        <v>42</v>
      </c>
      <c r="I89">
        <v>9925</v>
      </c>
      <c r="J89">
        <v>44</v>
      </c>
      <c r="K89">
        <v>6745</v>
      </c>
      <c r="L89">
        <v>3136</v>
      </c>
      <c r="M89">
        <v>9131</v>
      </c>
      <c r="N89">
        <v>794</v>
      </c>
      <c r="O89" t="s">
        <v>598</v>
      </c>
      <c r="P89" t="s">
        <v>193</v>
      </c>
      <c r="Q89" s="31">
        <v>24135</v>
      </c>
      <c r="R89" s="31" t="s">
        <v>193</v>
      </c>
      <c r="S89" s="31" t="s">
        <v>598</v>
      </c>
      <c r="T89" s="31">
        <v>2.4399999999999999E-3</v>
      </c>
      <c r="U89" s="31">
        <v>9.0190000000000006E-2</v>
      </c>
      <c r="V89" s="31">
        <v>0.23047000000000001</v>
      </c>
      <c r="W89" s="31">
        <v>0.17671000000000001</v>
      </c>
      <c r="X89" s="31">
        <v>58.235509999999998</v>
      </c>
    </row>
    <row r="90" spans="1:24" x14ac:dyDescent="0.25">
      <c r="A90">
        <v>1659</v>
      </c>
      <c r="B90"/>
      <c r="C90">
        <v>11627</v>
      </c>
      <c r="D90">
        <v>3389</v>
      </c>
      <c r="E90"/>
      <c r="F90"/>
      <c r="G90">
        <v>266</v>
      </c>
      <c r="H90">
        <v>82</v>
      </c>
      <c r="I90">
        <v>17023</v>
      </c>
      <c r="J90">
        <v>15</v>
      </c>
      <c r="K90">
        <v>11218</v>
      </c>
      <c r="L90">
        <v>5790</v>
      </c>
      <c r="M90">
        <v>14150</v>
      </c>
      <c r="N90">
        <v>2873</v>
      </c>
      <c r="O90" t="s">
        <v>869</v>
      </c>
      <c r="P90" t="s">
        <v>456</v>
      </c>
      <c r="Q90" s="31">
        <v>40635</v>
      </c>
      <c r="R90" s="31" t="s">
        <v>456</v>
      </c>
      <c r="S90" s="31" t="s">
        <v>869</v>
      </c>
      <c r="T90" s="31">
        <v>2.66E-3</v>
      </c>
      <c r="U90" s="31">
        <v>8.8900000000000007E-2</v>
      </c>
      <c r="V90" s="31">
        <v>0.25157000000000002</v>
      </c>
      <c r="W90" s="31">
        <v>0.17827999999999999</v>
      </c>
      <c r="X90" s="31">
        <v>57.369439999999997</v>
      </c>
    </row>
    <row r="91" spans="1:24" x14ac:dyDescent="0.25">
      <c r="A91">
        <v>16463</v>
      </c>
      <c r="B91"/>
      <c r="C91">
        <v>40576</v>
      </c>
      <c r="D91">
        <v>23158</v>
      </c>
      <c r="E91"/>
      <c r="F91"/>
      <c r="G91">
        <v>1070</v>
      </c>
      <c r="H91">
        <v>756</v>
      </c>
      <c r="I91">
        <v>82023</v>
      </c>
      <c r="J91">
        <v>257</v>
      </c>
      <c r="K91">
        <v>33559</v>
      </c>
      <c r="L91">
        <v>48195</v>
      </c>
      <c r="M91">
        <v>43587</v>
      </c>
      <c r="N91">
        <v>38424</v>
      </c>
      <c r="O91" t="s">
        <v>815</v>
      </c>
      <c r="P91" t="s">
        <v>174</v>
      </c>
      <c r="Q91" s="31">
        <v>168240</v>
      </c>
      <c r="R91" s="31" t="s">
        <v>174</v>
      </c>
      <c r="S91" s="31" t="s">
        <v>815</v>
      </c>
      <c r="T91" s="31">
        <v>2.3E-3</v>
      </c>
      <c r="U91" s="31">
        <v>0.1416</v>
      </c>
      <c r="V91" s="31">
        <v>0.14509</v>
      </c>
      <c r="W91" s="31">
        <v>0.14860000000000001</v>
      </c>
      <c r="X91" s="31">
        <v>67.650270000000006</v>
      </c>
    </row>
    <row r="92" spans="1:24" x14ac:dyDescent="0.25">
      <c r="A92">
        <v>618</v>
      </c>
      <c r="B92"/>
      <c r="C92">
        <v>6000</v>
      </c>
      <c r="D92">
        <v>2258</v>
      </c>
      <c r="E92"/>
      <c r="F92"/>
      <c r="G92">
        <v>392</v>
      </c>
      <c r="H92">
        <v>12</v>
      </c>
      <c r="I92">
        <v>9280</v>
      </c>
      <c r="J92">
        <v>31</v>
      </c>
      <c r="K92">
        <v>6108</v>
      </c>
      <c r="L92">
        <v>3077</v>
      </c>
      <c r="M92">
        <v>7883</v>
      </c>
      <c r="N92">
        <v>1333</v>
      </c>
      <c r="O92" t="s">
        <v>562</v>
      </c>
      <c r="P92" t="s">
        <v>350</v>
      </c>
      <c r="Q92" s="31">
        <v>22805</v>
      </c>
      <c r="R92" s="31" t="s">
        <v>350</v>
      </c>
      <c r="S92" s="31" t="s">
        <v>562</v>
      </c>
      <c r="T92" s="31">
        <v>2.66E-3</v>
      </c>
      <c r="U92" s="31">
        <v>9.9470000000000003E-2</v>
      </c>
      <c r="V92" s="31">
        <v>0.21318000000000001</v>
      </c>
      <c r="W92" s="31">
        <v>0.17521</v>
      </c>
      <c r="X92" s="31">
        <v>65.300250000000005</v>
      </c>
    </row>
    <row r="93" spans="1:24" x14ac:dyDescent="0.25">
      <c r="A93">
        <v>469</v>
      </c>
      <c r="B93"/>
      <c r="C93">
        <v>6152</v>
      </c>
      <c r="D93">
        <v>2779</v>
      </c>
      <c r="E93"/>
      <c r="F93"/>
      <c r="G93">
        <v>945</v>
      </c>
      <c r="H93">
        <v>10</v>
      </c>
      <c r="I93">
        <v>10355</v>
      </c>
      <c r="J93">
        <v>106</v>
      </c>
      <c r="K93">
        <v>6907</v>
      </c>
      <c r="L93">
        <v>3342</v>
      </c>
      <c r="M93">
        <v>8788</v>
      </c>
      <c r="N93">
        <v>1567</v>
      </c>
      <c r="O93" t="s">
        <v>629</v>
      </c>
      <c r="P93" t="s">
        <v>222</v>
      </c>
      <c r="Q93" s="31">
        <v>23855</v>
      </c>
      <c r="R93" s="31" t="s">
        <v>222</v>
      </c>
      <c r="S93" s="31" t="s">
        <v>629</v>
      </c>
      <c r="T93" s="31">
        <v>3.0000000000000001E-3</v>
      </c>
      <c r="U93" s="31">
        <v>0.11631</v>
      </c>
      <c r="V93" s="31">
        <v>0.21486</v>
      </c>
      <c r="W93" s="31">
        <v>0.19139</v>
      </c>
      <c r="X93" s="31">
        <v>68.402670000000001</v>
      </c>
    </row>
    <row r="94" spans="1:24" x14ac:dyDescent="0.25">
      <c r="A94">
        <v>1161</v>
      </c>
      <c r="B94"/>
      <c r="C94">
        <v>8881</v>
      </c>
      <c r="D94">
        <v>4437</v>
      </c>
      <c r="E94"/>
      <c r="F94"/>
      <c r="G94">
        <v>148</v>
      </c>
      <c r="H94"/>
      <c r="I94">
        <v>14627</v>
      </c>
      <c r="J94">
        <v>83</v>
      </c>
      <c r="K94">
        <v>8881</v>
      </c>
      <c r="L94">
        <v>5593</v>
      </c>
      <c r="M94">
        <v>10102</v>
      </c>
      <c r="N94">
        <v>4455</v>
      </c>
      <c r="O94" t="s">
        <v>650</v>
      </c>
      <c r="P94" t="s">
        <v>236</v>
      </c>
      <c r="Q94" s="31">
        <v>31570</v>
      </c>
      <c r="R94" s="31" t="s">
        <v>236</v>
      </c>
      <c r="S94" s="31" t="s">
        <v>650</v>
      </c>
      <c r="T94" s="31">
        <v>3.9399999999999999E-3</v>
      </c>
      <c r="U94" s="31">
        <v>0.14524999999999999</v>
      </c>
      <c r="V94" s="31">
        <v>0.22968</v>
      </c>
      <c r="W94" s="31">
        <v>0.26217000000000001</v>
      </c>
      <c r="X94" s="31">
        <v>85.332170000000005</v>
      </c>
    </row>
    <row r="95" spans="1:24" x14ac:dyDescent="0.25">
      <c r="A95">
        <v>1835</v>
      </c>
      <c r="B95"/>
      <c r="C95">
        <v>13981</v>
      </c>
      <c r="D95">
        <v>5003</v>
      </c>
      <c r="E95"/>
      <c r="F95"/>
      <c r="G95">
        <v>459</v>
      </c>
      <c r="H95">
        <v>316</v>
      </c>
      <c r="I95">
        <v>21594</v>
      </c>
      <c r="J95">
        <v>112</v>
      </c>
      <c r="K95">
        <v>11497</v>
      </c>
      <c r="L95">
        <v>9968</v>
      </c>
      <c r="M95">
        <v>15933</v>
      </c>
      <c r="N95">
        <v>5644</v>
      </c>
      <c r="O95" t="s">
        <v>582</v>
      </c>
      <c r="P95" t="s">
        <v>468</v>
      </c>
      <c r="Q95" s="31">
        <v>43615</v>
      </c>
      <c r="R95" s="31" t="s">
        <v>468</v>
      </c>
      <c r="S95" s="31" t="s">
        <v>582</v>
      </c>
      <c r="T95" s="31">
        <v>3.81E-3</v>
      </c>
      <c r="U95" s="31">
        <v>0.11512</v>
      </c>
      <c r="V95" s="31">
        <v>0.20227000000000001</v>
      </c>
      <c r="W95" s="31">
        <v>0.25170999999999999</v>
      </c>
      <c r="X95" s="31">
        <v>99.146230000000003</v>
      </c>
    </row>
    <row r="96" spans="1:24" x14ac:dyDescent="0.25">
      <c r="A96">
        <v>8</v>
      </c>
      <c r="B96"/>
      <c r="C96">
        <v>543</v>
      </c>
      <c r="D96">
        <v>85</v>
      </c>
      <c r="E96"/>
      <c r="F96"/>
      <c r="G96">
        <v>1</v>
      </c>
      <c r="H96"/>
      <c r="I96">
        <v>637</v>
      </c>
      <c r="J96">
        <v>0</v>
      </c>
      <c r="K96">
        <v>540</v>
      </c>
      <c r="L96">
        <v>88</v>
      </c>
      <c r="M96">
        <v>622</v>
      </c>
      <c r="N96">
        <v>6</v>
      </c>
      <c r="O96" t="s">
        <v>739</v>
      </c>
      <c r="P96" t="s">
        <v>309</v>
      </c>
      <c r="Q96" s="31">
        <v>1505</v>
      </c>
      <c r="R96" s="31" t="s">
        <v>309</v>
      </c>
      <c r="S96" s="31" t="s">
        <v>739</v>
      </c>
      <c r="T96" s="31">
        <v>5.3200000000000001E-3</v>
      </c>
      <c r="U96" s="31">
        <v>5.5989999999999998E-2</v>
      </c>
      <c r="V96" s="31">
        <v>0.74851000000000001</v>
      </c>
      <c r="W96" s="31">
        <v>0.2737</v>
      </c>
      <c r="X96" s="31">
        <v>46.582349999999998</v>
      </c>
    </row>
    <row r="97" spans="1:24" x14ac:dyDescent="0.25">
      <c r="A97">
        <v>186</v>
      </c>
      <c r="B97"/>
      <c r="C97">
        <v>2742</v>
      </c>
      <c r="D97">
        <v>695</v>
      </c>
      <c r="E97"/>
      <c r="F97"/>
      <c r="G97">
        <v>116</v>
      </c>
      <c r="H97"/>
      <c r="I97">
        <v>3739</v>
      </c>
      <c r="J97">
        <v>3</v>
      </c>
      <c r="K97">
        <v>2606</v>
      </c>
      <c r="L97">
        <v>1130</v>
      </c>
      <c r="M97">
        <v>3245</v>
      </c>
      <c r="N97">
        <v>494</v>
      </c>
      <c r="O97" t="s">
        <v>652</v>
      </c>
      <c r="P97" t="s">
        <v>238</v>
      </c>
      <c r="Q97" s="31">
        <v>9495</v>
      </c>
      <c r="R97" s="31" t="s">
        <v>238</v>
      </c>
      <c r="S97" s="31" t="s">
        <v>652</v>
      </c>
      <c r="T97" s="31">
        <v>2.8600000000000001E-3</v>
      </c>
      <c r="U97" s="31">
        <v>7.4639999999999998E-2</v>
      </c>
      <c r="V97" s="31">
        <v>0.27995999999999999</v>
      </c>
      <c r="W97" s="31">
        <v>0.18113000000000001</v>
      </c>
      <c r="X97" s="31">
        <v>59.232840000000003</v>
      </c>
    </row>
    <row r="98" spans="1:24" x14ac:dyDescent="0.25">
      <c r="A98">
        <v>2200</v>
      </c>
      <c r="B98"/>
      <c r="C98">
        <v>11824</v>
      </c>
      <c r="D98">
        <v>3557</v>
      </c>
      <c r="E98"/>
      <c r="F98"/>
      <c r="G98">
        <v>373</v>
      </c>
      <c r="H98">
        <v>228</v>
      </c>
      <c r="I98">
        <v>18182</v>
      </c>
      <c r="J98">
        <v>338</v>
      </c>
      <c r="K98">
        <v>9612</v>
      </c>
      <c r="L98">
        <v>8218</v>
      </c>
      <c r="M98">
        <v>13447</v>
      </c>
      <c r="N98">
        <v>4735</v>
      </c>
      <c r="O98" t="s">
        <v>783</v>
      </c>
      <c r="P98" t="s">
        <v>362</v>
      </c>
      <c r="Q98" s="31">
        <v>41755</v>
      </c>
      <c r="R98" s="31" t="s">
        <v>362</v>
      </c>
      <c r="S98" s="31" t="s">
        <v>783</v>
      </c>
      <c r="T98" s="31">
        <v>2.3400000000000001E-3</v>
      </c>
      <c r="U98" s="31">
        <v>8.5430000000000006E-2</v>
      </c>
      <c r="V98" s="31">
        <v>0.18479999999999999</v>
      </c>
      <c r="W98" s="31">
        <v>0.16422999999999999</v>
      </c>
      <c r="X98" s="31">
        <v>66.996780000000001</v>
      </c>
    </row>
    <row r="99" spans="1:24" x14ac:dyDescent="0.25">
      <c r="A99">
        <v>460</v>
      </c>
      <c r="B99"/>
      <c r="C99">
        <v>7175</v>
      </c>
      <c r="D99">
        <v>3128</v>
      </c>
      <c r="E99"/>
      <c r="F99"/>
      <c r="G99">
        <v>631</v>
      </c>
      <c r="H99"/>
      <c r="I99">
        <v>11394</v>
      </c>
      <c r="J99">
        <v>37</v>
      </c>
      <c r="K99">
        <v>7612</v>
      </c>
      <c r="L99">
        <v>3745</v>
      </c>
      <c r="M99">
        <v>9890</v>
      </c>
      <c r="N99">
        <v>1504</v>
      </c>
      <c r="O99" t="s">
        <v>647</v>
      </c>
      <c r="P99" t="s">
        <v>233</v>
      </c>
      <c r="Q99" s="31">
        <v>26145</v>
      </c>
      <c r="R99" s="31" t="s">
        <v>233</v>
      </c>
      <c r="S99" s="31" t="s">
        <v>647</v>
      </c>
      <c r="T99" s="31">
        <v>3.2499999999999999E-3</v>
      </c>
      <c r="U99" s="31">
        <v>0.13775000000000001</v>
      </c>
      <c r="V99" s="31">
        <v>0.20533999999999999</v>
      </c>
      <c r="W99" s="31">
        <v>0.22115000000000001</v>
      </c>
      <c r="X99" s="31">
        <v>81.274349999999998</v>
      </c>
    </row>
    <row r="100" spans="1:24" x14ac:dyDescent="0.25">
      <c r="A100">
        <v>2758</v>
      </c>
      <c r="B100"/>
      <c r="C100">
        <v>7392</v>
      </c>
      <c r="D100">
        <v>9505</v>
      </c>
      <c r="E100"/>
      <c r="F100"/>
      <c r="G100">
        <v>205</v>
      </c>
      <c r="H100">
        <v>114</v>
      </c>
      <c r="I100">
        <v>19974</v>
      </c>
      <c r="J100">
        <v>1056</v>
      </c>
      <c r="K100">
        <v>7436</v>
      </c>
      <c r="L100">
        <v>11482</v>
      </c>
      <c r="M100">
        <v>8356</v>
      </c>
      <c r="N100">
        <v>11618</v>
      </c>
      <c r="O100" t="s">
        <v>571</v>
      </c>
      <c r="P100" t="s">
        <v>162</v>
      </c>
      <c r="Q100" s="31">
        <v>37950</v>
      </c>
      <c r="R100" s="31" t="s">
        <v>162</v>
      </c>
      <c r="S100" s="31" t="s">
        <v>571</v>
      </c>
      <c r="T100" s="31">
        <v>2.14E-3</v>
      </c>
      <c r="U100" s="31">
        <v>0.26146999999999998</v>
      </c>
      <c r="V100" s="31">
        <v>0.14771000000000001</v>
      </c>
      <c r="W100" s="31">
        <v>0.15287000000000001</v>
      </c>
      <c r="X100" s="31">
        <v>49.465440000000001</v>
      </c>
    </row>
    <row r="101" spans="1:24" x14ac:dyDescent="0.25">
      <c r="A101">
        <v>305</v>
      </c>
      <c r="B101"/>
      <c r="C101">
        <v>5202</v>
      </c>
      <c r="D101">
        <v>1056</v>
      </c>
      <c r="E101"/>
      <c r="F101"/>
      <c r="G101">
        <v>49</v>
      </c>
      <c r="H101">
        <v>74</v>
      </c>
      <c r="I101">
        <v>6686</v>
      </c>
      <c r="J101">
        <v>0</v>
      </c>
      <c r="K101">
        <v>3808</v>
      </c>
      <c r="L101">
        <v>2878</v>
      </c>
      <c r="M101">
        <v>5878</v>
      </c>
      <c r="N101">
        <v>808</v>
      </c>
      <c r="O101" t="s">
        <v>893</v>
      </c>
      <c r="P101" t="s">
        <v>446</v>
      </c>
      <c r="Q101" s="31">
        <v>15130</v>
      </c>
      <c r="R101" s="31" t="s">
        <v>446</v>
      </c>
      <c r="S101" s="31" t="s">
        <v>893</v>
      </c>
      <c r="T101" s="31">
        <v>2.6199999999999999E-3</v>
      </c>
      <c r="U101" s="31">
        <v>7.0760000000000003E-2</v>
      </c>
      <c r="V101" s="31">
        <v>0.23924999999999999</v>
      </c>
      <c r="W101" s="31">
        <v>0.16686000000000001</v>
      </c>
      <c r="X101" s="31">
        <v>67.077060000000003</v>
      </c>
    </row>
    <row r="102" spans="1:24" x14ac:dyDescent="0.25">
      <c r="A102">
        <v>986</v>
      </c>
      <c r="B102"/>
      <c r="C102">
        <v>8319</v>
      </c>
      <c r="D102">
        <v>3203</v>
      </c>
      <c r="E102"/>
      <c r="F102"/>
      <c r="G102">
        <v>811</v>
      </c>
      <c r="H102">
        <v>182</v>
      </c>
      <c r="I102">
        <v>13501</v>
      </c>
      <c r="J102">
        <v>2</v>
      </c>
      <c r="K102">
        <v>9183</v>
      </c>
      <c r="L102">
        <v>4317</v>
      </c>
      <c r="M102">
        <v>10508</v>
      </c>
      <c r="N102">
        <v>2993</v>
      </c>
      <c r="O102" t="s">
        <v>921</v>
      </c>
      <c r="P102" t="s">
        <v>515</v>
      </c>
      <c r="Q102" s="31">
        <v>28860</v>
      </c>
      <c r="R102" s="31" t="s">
        <v>515</v>
      </c>
      <c r="S102" s="31" t="s">
        <v>921</v>
      </c>
      <c r="T102" s="31">
        <v>3.2299999999999998E-3</v>
      </c>
      <c r="U102" s="31">
        <v>0.11117</v>
      </c>
      <c r="V102" s="31">
        <v>0.18967999999999999</v>
      </c>
      <c r="W102" s="31">
        <v>0.21351999999999999</v>
      </c>
      <c r="X102" s="31">
        <v>86.727599999999995</v>
      </c>
    </row>
    <row r="103" spans="1:24" x14ac:dyDescent="0.25">
      <c r="A103">
        <v>1015</v>
      </c>
      <c r="B103"/>
      <c r="C103">
        <v>12283</v>
      </c>
      <c r="D103">
        <v>3740</v>
      </c>
      <c r="E103"/>
      <c r="F103"/>
      <c r="G103">
        <v>611</v>
      </c>
      <c r="H103">
        <v>82</v>
      </c>
      <c r="I103">
        <v>17731</v>
      </c>
      <c r="J103">
        <v>212</v>
      </c>
      <c r="K103">
        <v>11555</v>
      </c>
      <c r="L103">
        <v>5902</v>
      </c>
      <c r="M103">
        <v>14571</v>
      </c>
      <c r="N103">
        <v>3107</v>
      </c>
      <c r="O103" t="s">
        <v>591</v>
      </c>
      <c r="P103" t="s">
        <v>186</v>
      </c>
      <c r="Q103" s="31">
        <v>40990</v>
      </c>
      <c r="R103" s="31" t="s">
        <v>186</v>
      </c>
      <c r="S103" s="31" t="s">
        <v>591</v>
      </c>
      <c r="T103" s="31">
        <v>2.8E-3</v>
      </c>
      <c r="U103" s="31">
        <v>9.085E-2</v>
      </c>
      <c r="V103" s="31">
        <v>0.24137</v>
      </c>
      <c r="W103" s="31">
        <v>0.18944</v>
      </c>
      <c r="X103" s="31">
        <v>64.257630000000006</v>
      </c>
    </row>
    <row r="104" spans="1:24" x14ac:dyDescent="0.25">
      <c r="A104">
        <v>483</v>
      </c>
      <c r="B104"/>
      <c r="C104">
        <v>7619</v>
      </c>
      <c r="D104">
        <v>2443</v>
      </c>
      <c r="E104"/>
      <c r="F104"/>
      <c r="G104">
        <v>552</v>
      </c>
      <c r="H104">
        <v>215</v>
      </c>
      <c r="I104">
        <v>11312</v>
      </c>
      <c r="J104">
        <v>75</v>
      </c>
      <c r="K104">
        <v>7520</v>
      </c>
      <c r="L104">
        <v>3712</v>
      </c>
      <c r="M104">
        <v>9867</v>
      </c>
      <c r="N104">
        <v>1440</v>
      </c>
      <c r="O104" t="s">
        <v>709</v>
      </c>
      <c r="P104" t="s">
        <v>291</v>
      </c>
      <c r="Q104" s="31">
        <v>27155</v>
      </c>
      <c r="R104" s="31" t="s">
        <v>291</v>
      </c>
      <c r="S104" s="31" t="s">
        <v>709</v>
      </c>
      <c r="T104" s="31">
        <v>2.48E-3</v>
      </c>
      <c r="U104" s="31">
        <v>9.8169999999999993E-2</v>
      </c>
      <c r="V104" s="31">
        <v>0.22993</v>
      </c>
      <c r="W104" s="31">
        <v>0.17052999999999999</v>
      </c>
      <c r="X104" s="31">
        <v>58.597450000000002</v>
      </c>
    </row>
    <row r="105" spans="1:24" x14ac:dyDescent="0.25">
      <c r="A105">
        <v>961</v>
      </c>
      <c r="B105"/>
      <c r="C105">
        <v>10277</v>
      </c>
      <c r="D105">
        <v>2828</v>
      </c>
      <c r="E105"/>
      <c r="F105"/>
      <c r="G105">
        <v>626</v>
      </c>
      <c r="H105">
        <v>270</v>
      </c>
      <c r="I105">
        <v>14962</v>
      </c>
      <c r="J105">
        <v>16</v>
      </c>
      <c r="K105">
        <v>9060</v>
      </c>
      <c r="L105">
        <v>5854</v>
      </c>
      <c r="M105">
        <v>11857</v>
      </c>
      <c r="N105">
        <v>3072</v>
      </c>
      <c r="O105" t="s">
        <v>572</v>
      </c>
      <c r="P105" t="s">
        <v>163</v>
      </c>
      <c r="Q105" s="31">
        <v>32260</v>
      </c>
      <c r="R105" s="31" t="s">
        <v>163</v>
      </c>
      <c r="S105" s="31" t="s">
        <v>572</v>
      </c>
      <c r="T105" s="31">
        <v>3.4199999999999999E-3</v>
      </c>
      <c r="U105" s="31">
        <v>9.3579999999999997E-2</v>
      </c>
      <c r="V105" s="31">
        <v>0.22816</v>
      </c>
      <c r="W105" s="31">
        <v>0.23016</v>
      </c>
      <c r="X105" s="31">
        <v>82.516030000000001</v>
      </c>
    </row>
    <row r="106" spans="1:24" x14ac:dyDescent="0.25">
      <c r="A106">
        <v>3997</v>
      </c>
      <c r="B106"/>
      <c r="C106">
        <v>13653</v>
      </c>
      <c r="D106">
        <v>5304</v>
      </c>
      <c r="E106"/>
      <c r="F106"/>
      <c r="G106">
        <v>465</v>
      </c>
      <c r="H106">
        <v>385</v>
      </c>
      <c r="I106">
        <v>23804</v>
      </c>
      <c r="J106">
        <v>364</v>
      </c>
      <c r="K106">
        <v>12202</v>
      </c>
      <c r="L106">
        <v>11238</v>
      </c>
      <c r="M106">
        <v>15927</v>
      </c>
      <c r="N106">
        <v>7877</v>
      </c>
      <c r="O106" t="s">
        <v>612</v>
      </c>
      <c r="P106" t="s">
        <v>416</v>
      </c>
      <c r="Q106" s="31">
        <v>47135</v>
      </c>
      <c r="R106" s="31" t="s">
        <v>416</v>
      </c>
      <c r="S106" s="31" t="s">
        <v>612</v>
      </c>
      <c r="T106" s="31">
        <v>2.63E-3</v>
      </c>
      <c r="U106" s="31">
        <v>0.11358</v>
      </c>
      <c r="V106" s="31">
        <v>0.157</v>
      </c>
      <c r="W106" s="31">
        <v>0.19478000000000001</v>
      </c>
      <c r="X106" s="31">
        <v>80.252489999999995</v>
      </c>
    </row>
    <row r="107" spans="1:24" x14ac:dyDescent="0.25">
      <c r="A107">
        <v>1064</v>
      </c>
      <c r="B107"/>
      <c r="C107">
        <v>7090</v>
      </c>
      <c r="D107">
        <v>2550</v>
      </c>
      <c r="E107"/>
      <c r="F107"/>
      <c r="G107">
        <v>454</v>
      </c>
      <c r="H107"/>
      <c r="I107">
        <v>11158</v>
      </c>
      <c r="J107">
        <v>89</v>
      </c>
      <c r="K107">
        <v>7049</v>
      </c>
      <c r="L107">
        <v>4020</v>
      </c>
      <c r="M107">
        <v>9588</v>
      </c>
      <c r="N107">
        <v>1570</v>
      </c>
      <c r="O107" t="s">
        <v>838</v>
      </c>
      <c r="P107" t="s">
        <v>394</v>
      </c>
      <c r="Q107" s="31">
        <v>26665</v>
      </c>
      <c r="R107" s="31" t="s">
        <v>394</v>
      </c>
      <c r="S107" s="31" t="s">
        <v>838</v>
      </c>
      <c r="T107" s="31">
        <v>2.81E-3</v>
      </c>
      <c r="U107" s="31">
        <v>9.5930000000000001E-2</v>
      </c>
      <c r="V107" s="31">
        <v>0.21052000000000001</v>
      </c>
      <c r="W107" s="31">
        <v>0.19067999999999999</v>
      </c>
      <c r="X107" s="31">
        <v>69.002030000000005</v>
      </c>
    </row>
    <row r="108" spans="1:24" x14ac:dyDescent="0.25">
      <c r="A108">
        <v>259</v>
      </c>
      <c r="B108"/>
      <c r="C108">
        <v>12216</v>
      </c>
      <c r="D108">
        <v>2459</v>
      </c>
      <c r="E108"/>
      <c r="F108"/>
      <c r="G108">
        <v>1447</v>
      </c>
      <c r="H108">
        <v>1877</v>
      </c>
      <c r="I108">
        <v>18258</v>
      </c>
      <c r="J108">
        <v>242</v>
      </c>
      <c r="K108">
        <v>11280</v>
      </c>
      <c r="L108">
        <v>6342</v>
      </c>
      <c r="M108">
        <v>15536</v>
      </c>
      <c r="N108">
        <v>2328</v>
      </c>
      <c r="O108" t="s">
        <v>778</v>
      </c>
      <c r="P108" t="s">
        <v>488</v>
      </c>
      <c r="Q108" s="31">
        <v>40375</v>
      </c>
      <c r="R108" s="31" t="s">
        <v>488</v>
      </c>
      <c r="S108" s="31" t="s">
        <v>778</v>
      </c>
      <c r="T108" s="31">
        <v>2.31E-3</v>
      </c>
      <c r="U108" s="31">
        <v>6.5600000000000006E-2</v>
      </c>
      <c r="V108" s="31">
        <v>0.22725999999999999</v>
      </c>
      <c r="W108" s="31">
        <v>0.16325999999999999</v>
      </c>
      <c r="X108" s="31">
        <v>55.545630000000003</v>
      </c>
    </row>
    <row r="109" spans="1:24" x14ac:dyDescent="0.25">
      <c r="A109">
        <v>94</v>
      </c>
      <c r="B109"/>
      <c r="C109">
        <v>3239</v>
      </c>
      <c r="D109">
        <v>1084</v>
      </c>
      <c r="E109"/>
      <c r="F109"/>
      <c r="G109">
        <v>366</v>
      </c>
      <c r="H109">
        <v>76</v>
      </c>
      <c r="I109">
        <v>4859</v>
      </c>
      <c r="J109">
        <v>34</v>
      </c>
      <c r="K109">
        <v>3271</v>
      </c>
      <c r="L109">
        <v>1533</v>
      </c>
      <c r="M109">
        <v>4676</v>
      </c>
      <c r="N109">
        <v>162</v>
      </c>
      <c r="O109" t="s">
        <v>684</v>
      </c>
      <c r="P109" t="s">
        <v>266</v>
      </c>
      <c r="Q109" s="31">
        <v>11985</v>
      </c>
      <c r="R109" s="31" t="s">
        <v>266</v>
      </c>
      <c r="S109" s="31" t="s">
        <v>684</v>
      </c>
      <c r="T109" s="31">
        <v>2.4199999999999998E-3</v>
      </c>
      <c r="U109" s="31">
        <v>9.8710000000000006E-2</v>
      </c>
      <c r="V109" s="31">
        <v>0.23810999999999999</v>
      </c>
      <c r="W109" s="31">
        <v>0.16836999999999999</v>
      </c>
      <c r="X109" s="31">
        <v>53.942480000000003</v>
      </c>
    </row>
    <row r="110" spans="1:24" x14ac:dyDescent="0.25">
      <c r="A110">
        <v>8554</v>
      </c>
      <c r="B110"/>
      <c r="C110">
        <v>39288</v>
      </c>
      <c r="D110">
        <v>17965</v>
      </c>
      <c r="E110"/>
      <c r="F110"/>
      <c r="G110">
        <v>833</v>
      </c>
      <c r="H110">
        <v>942</v>
      </c>
      <c r="I110">
        <v>67582</v>
      </c>
      <c r="J110">
        <v>208</v>
      </c>
      <c r="K110">
        <v>38339</v>
      </c>
      <c r="L110">
        <v>28747</v>
      </c>
      <c r="M110">
        <v>42687</v>
      </c>
      <c r="N110">
        <v>24800</v>
      </c>
      <c r="O110" t="s">
        <v>633</v>
      </c>
      <c r="P110" t="s">
        <v>430</v>
      </c>
      <c r="Q110" s="31">
        <v>150765</v>
      </c>
      <c r="R110" s="31" t="s">
        <v>430</v>
      </c>
      <c r="S110" s="31" t="s">
        <v>633</v>
      </c>
      <c r="T110" s="31">
        <v>1.9300000000000001E-3</v>
      </c>
      <c r="U110" s="31">
        <v>0.12221</v>
      </c>
      <c r="V110" s="31">
        <v>0.17781</v>
      </c>
      <c r="W110" s="31">
        <v>0.13788</v>
      </c>
      <c r="X110" s="31">
        <v>52.362479999999998</v>
      </c>
    </row>
    <row r="111" spans="1:24" x14ac:dyDescent="0.25">
      <c r="A111">
        <v>1659</v>
      </c>
      <c r="B111"/>
      <c r="C111">
        <v>7166</v>
      </c>
      <c r="D111">
        <v>2716</v>
      </c>
      <c r="E111"/>
      <c r="F111"/>
      <c r="G111">
        <v>388</v>
      </c>
      <c r="H111">
        <v>172</v>
      </c>
      <c r="I111">
        <v>12101</v>
      </c>
      <c r="J111">
        <v>240</v>
      </c>
      <c r="K111">
        <v>7085</v>
      </c>
      <c r="L111">
        <v>4776</v>
      </c>
      <c r="M111">
        <v>8067</v>
      </c>
      <c r="N111">
        <v>4034</v>
      </c>
      <c r="O111" t="s">
        <v>767</v>
      </c>
      <c r="P111" t="s">
        <v>333</v>
      </c>
      <c r="Q111" s="31">
        <v>24290</v>
      </c>
      <c r="R111" s="31" t="s">
        <v>333</v>
      </c>
      <c r="S111" s="31" t="s">
        <v>767</v>
      </c>
      <c r="T111" s="31">
        <v>3.1800000000000001E-3</v>
      </c>
      <c r="U111" s="31">
        <v>0.11415</v>
      </c>
      <c r="V111" s="31">
        <v>0.18467</v>
      </c>
      <c r="W111" s="31">
        <v>0.22262999999999999</v>
      </c>
      <c r="X111" s="31">
        <v>84.307010000000005</v>
      </c>
    </row>
    <row r="112" spans="1:24" x14ac:dyDescent="0.25">
      <c r="A112">
        <v>2368</v>
      </c>
      <c r="B112"/>
      <c r="C112">
        <v>11483</v>
      </c>
      <c r="D112">
        <v>5525</v>
      </c>
      <c r="E112"/>
      <c r="F112"/>
      <c r="G112">
        <v>605</v>
      </c>
      <c r="H112">
        <v>118</v>
      </c>
      <c r="I112">
        <v>20099</v>
      </c>
      <c r="J112">
        <v>257</v>
      </c>
      <c r="K112">
        <v>11668</v>
      </c>
      <c r="L112">
        <v>8174</v>
      </c>
      <c r="M112">
        <v>13186</v>
      </c>
      <c r="N112">
        <v>6913</v>
      </c>
      <c r="O112" t="s">
        <v>775</v>
      </c>
      <c r="P112" t="s">
        <v>341</v>
      </c>
      <c r="Q112" s="31">
        <v>42020</v>
      </c>
      <c r="R112" s="31" t="s">
        <v>341</v>
      </c>
      <c r="S112" s="31" t="s">
        <v>775</v>
      </c>
      <c r="T112" s="31">
        <v>3.3E-3</v>
      </c>
      <c r="U112" s="31">
        <v>0.13750000000000001</v>
      </c>
      <c r="V112" s="31">
        <v>0.23252999999999999</v>
      </c>
      <c r="W112" s="31">
        <v>0.23429</v>
      </c>
      <c r="X112" s="31">
        <v>67.388360000000006</v>
      </c>
    </row>
    <row r="113" spans="1:24" x14ac:dyDescent="0.25">
      <c r="A113">
        <v>350</v>
      </c>
      <c r="B113"/>
      <c r="C113">
        <v>4633</v>
      </c>
      <c r="D113">
        <v>1103</v>
      </c>
      <c r="E113"/>
      <c r="F113"/>
      <c r="G113">
        <v>171</v>
      </c>
      <c r="H113"/>
      <c r="I113">
        <v>6257</v>
      </c>
      <c r="J113">
        <v>1</v>
      </c>
      <c r="K113">
        <v>4645</v>
      </c>
      <c r="L113">
        <v>1611</v>
      </c>
      <c r="M113">
        <v>5334</v>
      </c>
      <c r="N113">
        <v>923</v>
      </c>
      <c r="O113" t="s">
        <v>867</v>
      </c>
      <c r="P113" t="s">
        <v>499</v>
      </c>
      <c r="Q113" s="31">
        <v>14620</v>
      </c>
      <c r="R113" s="31" t="s">
        <v>499</v>
      </c>
      <c r="S113" s="31" t="s">
        <v>867</v>
      </c>
      <c r="T113" s="31">
        <v>3.1900000000000001E-3</v>
      </c>
      <c r="U113" s="31">
        <v>7.17E-2</v>
      </c>
      <c r="V113" s="31">
        <v>0.35649999999999998</v>
      </c>
      <c r="W113" s="31">
        <v>0.21431</v>
      </c>
      <c r="X113" s="31">
        <v>52.202759999999998</v>
      </c>
    </row>
    <row r="114" spans="1:24" x14ac:dyDescent="0.25">
      <c r="A114">
        <v>639</v>
      </c>
      <c r="B114"/>
      <c r="C114">
        <v>5747</v>
      </c>
      <c r="D114">
        <v>1352</v>
      </c>
      <c r="E114"/>
      <c r="F114"/>
      <c r="G114">
        <v>149</v>
      </c>
      <c r="H114">
        <v>26</v>
      </c>
      <c r="I114">
        <v>7913</v>
      </c>
      <c r="J114">
        <v>106</v>
      </c>
      <c r="K114">
        <v>5987</v>
      </c>
      <c r="L114">
        <v>1820</v>
      </c>
      <c r="M114">
        <v>6381</v>
      </c>
      <c r="N114">
        <v>1532</v>
      </c>
      <c r="O114" t="s">
        <v>620</v>
      </c>
      <c r="P114" t="s">
        <v>213</v>
      </c>
      <c r="Q114" s="31">
        <v>19625</v>
      </c>
      <c r="R114" s="31" t="s">
        <v>213</v>
      </c>
      <c r="S114" s="31" t="s">
        <v>620</v>
      </c>
      <c r="T114" s="31">
        <v>2.3E-3</v>
      </c>
      <c r="U114" s="31">
        <v>7.0910000000000001E-2</v>
      </c>
      <c r="V114" s="31">
        <v>0.28043000000000001</v>
      </c>
      <c r="W114" s="31">
        <v>0.15296000000000001</v>
      </c>
      <c r="X114" s="31">
        <v>46.8446</v>
      </c>
    </row>
    <row r="115" spans="1:24" x14ac:dyDescent="0.25">
      <c r="A115">
        <v>77</v>
      </c>
      <c r="B115"/>
      <c r="C115">
        <v>3297</v>
      </c>
      <c r="D115">
        <v>492</v>
      </c>
      <c r="E115"/>
      <c r="F115"/>
      <c r="G115">
        <v>111</v>
      </c>
      <c r="H115">
        <v>170</v>
      </c>
      <c r="I115">
        <v>4147</v>
      </c>
      <c r="J115">
        <v>6</v>
      </c>
      <c r="K115">
        <v>2769</v>
      </c>
      <c r="L115">
        <v>1372</v>
      </c>
      <c r="M115">
        <v>3789</v>
      </c>
      <c r="N115">
        <v>358</v>
      </c>
      <c r="O115" t="s">
        <v>667</v>
      </c>
      <c r="P115" t="s">
        <v>253</v>
      </c>
      <c r="Q115" s="31">
        <v>9625</v>
      </c>
      <c r="R115" s="31" t="s">
        <v>253</v>
      </c>
      <c r="S115" s="31" t="s">
        <v>667</v>
      </c>
      <c r="T115" s="31">
        <v>2.6900000000000001E-3</v>
      </c>
      <c r="U115" s="31">
        <v>7.2359999999999994E-2</v>
      </c>
      <c r="V115" s="31">
        <v>0.33784999999999998</v>
      </c>
      <c r="W115" s="31">
        <v>0.19173000000000001</v>
      </c>
      <c r="X115" s="31">
        <v>48.344079999999998</v>
      </c>
    </row>
    <row r="116" spans="1:24" x14ac:dyDescent="0.25">
      <c r="A116">
        <v>1218</v>
      </c>
      <c r="B116"/>
      <c r="C116">
        <v>14200</v>
      </c>
      <c r="D116">
        <v>4432</v>
      </c>
      <c r="E116"/>
      <c r="F116"/>
      <c r="G116">
        <v>209</v>
      </c>
      <c r="H116">
        <v>334</v>
      </c>
      <c r="I116">
        <v>20393</v>
      </c>
      <c r="J116">
        <v>25</v>
      </c>
      <c r="K116">
        <v>13443</v>
      </c>
      <c r="L116">
        <v>6817</v>
      </c>
      <c r="M116">
        <v>15649</v>
      </c>
      <c r="N116">
        <v>4636</v>
      </c>
      <c r="O116" t="s">
        <v>829</v>
      </c>
      <c r="P116" t="s">
        <v>400</v>
      </c>
      <c r="Q116" s="31">
        <v>48360</v>
      </c>
      <c r="R116" s="31" t="s">
        <v>400</v>
      </c>
      <c r="S116" s="31" t="s">
        <v>829</v>
      </c>
      <c r="T116" s="31">
        <v>1.81E-3</v>
      </c>
      <c r="U116" s="31">
        <v>8.8660000000000003E-2</v>
      </c>
      <c r="V116" s="31">
        <v>0.26662000000000002</v>
      </c>
      <c r="W116" s="31">
        <v>0.12558</v>
      </c>
      <c r="X116" s="31">
        <v>38.174050000000001</v>
      </c>
    </row>
    <row r="117" spans="1:24" x14ac:dyDescent="0.25">
      <c r="A117">
        <v>873</v>
      </c>
      <c r="B117"/>
      <c r="C117">
        <v>9084</v>
      </c>
      <c r="D117">
        <v>2521</v>
      </c>
      <c r="E117"/>
      <c r="F117"/>
      <c r="G117">
        <v>446</v>
      </c>
      <c r="H117">
        <v>118</v>
      </c>
      <c r="I117">
        <v>13042</v>
      </c>
      <c r="J117">
        <v>50</v>
      </c>
      <c r="K117">
        <v>8846</v>
      </c>
      <c r="L117">
        <v>4146</v>
      </c>
      <c r="M117">
        <v>10690</v>
      </c>
      <c r="N117">
        <v>2352</v>
      </c>
      <c r="O117" t="s">
        <v>836</v>
      </c>
      <c r="P117" t="s">
        <v>392</v>
      </c>
      <c r="Q117" s="31">
        <v>28980</v>
      </c>
      <c r="R117" s="31" t="s">
        <v>392</v>
      </c>
      <c r="S117" s="31" t="s">
        <v>836</v>
      </c>
      <c r="T117" s="31">
        <v>2.7799999999999999E-3</v>
      </c>
      <c r="U117" s="31">
        <v>8.7470000000000006E-2</v>
      </c>
      <c r="V117" s="31">
        <v>0.30208000000000002</v>
      </c>
      <c r="W117" s="31">
        <v>0.19672999999999999</v>
      </c>
      <c r="X117" s="31">
        <v>51.17465</v>
      </c>
    </row>
    <row r="118" spans="1:24" x14ac:dyDescent="0.25">
      <c r="A118">
        <v>360</v>
      </c>
      <c r="B118"/>
      <c r="C118">
        <v>4127</v>
      </c>
      <c r="D118">
        <v>960</v>
      </c>
      <c r="E118"/>
      <c r="F118"/>
      <c r="G118">
        <v>133</v>
      </c>
      <c r="H118"/>
      <c r="I118">
        <v>5580</v>
      </c>
      <c r="J118">
        <v>14</v>
      </c>
      <c r="K118">
        <v>4163</v>
      </c>
      <c r="L118">
        <v>1404</v>
      </c>
      <c r="M118">
        <v>4939</v>
      </c>
      <c r="N118">
        <v>641</v>
      </c>
      <c r="O118" t="s">
        <v>651</v>
      </c>
      <c r="P118" t="s">
        <v>237</v>
      </c>
      <c r="Q118" s="31">
        <v>13990</v>
      </c>
      <c r="R118" s="31" t="s">
        <v>237</v>
      </c>
      <c r="S118" s="31" t="s">
        <v>651</v>
      </c>
      <c r="T118" s="31">
        <v>2.4199999999999998E-3</v>
      </c>
      <c r="U118" s="31">
        <v>7.349E-2</v>
      </c>
      <c r="V118" s="31">
        <v>0.28966999999999998</v>
      </c>
      <c r="W118" s="31">
        <v>0.15540999999999999</v>
      </c>
      <c r="X118" s="31">
        <v>48.392499999999998</v>
      </c>
    </row>
    <row r="119" spans="1:24" x14ac:dyDescent="0.25">
      <c r="A119">
        <v>383</v>
      </c>
      <c r="B119"/>
      <c r="C119">
        <v>4399</v>
      </c>
      <c r="D119">
        <v>658</v>
      </c>
      <c r="E119"/>
      <c r="F119"/>
      <c r="G119">
        <v>218</v>
      </c>
      <c r="H119"/>
      <c r="I119">
        <v>5658</v>
      </c>
      <c r="J119">
        <v>40</v>
      </c>
      <c r="K119">
        <v>4077</v>
      </c>
      <c r="L119">
        <v>1518</v>
      </c>
      <c r="M119">
        <v>4899</v>
      </c>
      <c r="N119">
        <v>736</v>
      </c>
      <c r="O119" t="s">
        <v>899</v>
      </c>
      <c r="P119" t="s">
        <v>463</v>
      </c>
      <c r="Q119" s="31">
        <v>13630</v>
      </c>
      <c r="R119" s="31" t="s">
        <v>463</v>
      </c>
      <c r="S119" s="31" t="s">
        <v>899</v>
      </c>
      <c r="T119" s="31">
        <v>2.5500000000000002E-3</v>
      </c>
      <c r="U119" s="31">
        <v>5.169E-2</v>
      </c>
      <c r="V119" s="31">
        <v>0.34100999999999998</v>
      </c>
      <c r="W119" s="31">
        <v>0.17768</v>
      </c>
      <c r="X119" s="31">
        <v>45.187849999999997</v>
      </c>
    </row>
    <row r="120" spans="1:24" x14ac:dyDescent="0.25">
      <c r="A120">
        <v>120</v>
      </c>
      <c r="B120"/>
      <c r="C120">
        <v>1268</v>
      </c>
      <c r="D120">
        <v>336</v>
      </c>
      <c r="E120"/>
      <c r="F120"/>
      <c r="G120">
        <v>226</v>
      </c>
      <c r="H120"/>
      <c r="I120">
        <v>1950</v>
      </c>
      <c r="J120">
        <v>11</v>
      </c>
      <c r="K120">
        <v>1450</v>
      </c>
      <c r="L120">
        <v>489</v>
      </c>
      <c r="M120">
        <v>1747</v>
      </c>
      <c r="N120">
        <v>203</v>
      </c>
      <c r="O120" t="s">
        <v>630</v>
      </c>
      <c r="P120" t="s">
        <v>427</v>
      </c>
      <c r="Q120" s="31">
        <v>4920</v>
      </c>
      <c r="R120" s="31" t="s">
        <v>427</v>
      </c>
      <c r="S120" s="31" t="s">
        <v>630</v>
      </c>
      <c r="T120" s="31">
        <v>2.3800000000000002E-3</v>
      </c>
      <c r="U120" s="31">
        <v>6.8169999999999994E-2</v>
      </c>
      <c r="V120" s="31">
        <v>0.30736000000000002</v>
      </c>
      <c r="W120" s="31">
        <v>0.14788999999999999</v>
      </c>
      <c r="X120" s="31">
        <v>42.444920000000003</v>
      </c>
    </row>
    <row r="121" spans="1:24" x14ac:dyDescent="0.25">
      <c r="A121">
        <v>637</v>
      </c>
      <c r="B121"/>
      <c r="C121">
        <v>5355</v>
      </c>
      <c r="D121">
        <v>1645</v>
      </c>
      <c r="E121"/>
      <c r="F121"/>
      <c r="G121">
        <v>184</v>
      </c>
      <c r="H121"/>
      <c r="I121">
        <v>7821</v>
      </c>
      <c r="J121">
        <v>110</v>
      </c>
      <c r="K121">
        <v>4851</v>
      </c>
      <c r="L121">
        <v>2770</v>
      </c>
      <c r="M121">
        <v>6234</v>
      </c>
      <c r="N121">
        <v>1498</v>
      </c>
      <c r="O121" t="s">
        <v>551</v>
      </c>
      <c r="P121" t="s">
        <v>145</v>
      </c>
      <c r="Q121" s="31">
        <v>19090</v>
      </c>
      <c r="R121" s="31" t="s">
        <v>145</v>
      </c>
      <c r="S121" s="31" t="s">
        <v>551</v>
      </c>
      <c r="T121" s="31">
        <v>3.3300000000000001E-3</v>
      </c>
      <c r="U121" s="31">
        <v>8.7919999999999998E-2</v>
      </c>
      <c r="V121" s="31">
        <v>0.26283000000000001</v>
      </c>
      <c r="W121" s="31">
        <v>0.20366000000000001</v>
      </c>
      <c r="X121" s="31">
        <v>69.156319999999994</v>
      </c>
    </row>
    <row r="122" spans="1:24" x14ac:dyDescent="0.25">
      <c r="A122">
        <v>2299</v>
      </c>
      <c r="B122"/>
      <c r="C122">
        <v>11533</v>
      </c>
      <c r="D122">
        <v>6454</v>
      </c>
      <c r="E122"/>
      <c r="F122"/>
      <c r="G122">
        <v>480</v>
      </c>
      <c r="H122">
        <v>120</v>
      </c>
      <c r="I122">
        <v>20886</v>
      </c>
      <c r="J122">
        <v>49</v>
      </c>
      <c r="K122">
        <v>12264</v>
      </c>
      <c r="L122">
        <v>8542</v>
      </c>
      <c r="M122">
        <v>13641</v>
      </c>
      <c r="N122">
        <v>7215</v>
      </c>
      <c r="O122" t="s">
        <v>583</v>
      </c>
      <c r="P122" t="s">
        <v>469</v>
      </c>
      <c r="Q122" s="31">
        <v>45470</v>
      </c>
      <c r="R122" s="31" t="s">
        <v>469</v>
      </c>
      <c r="S122" s="31" t="s">
        <v>583</v>
      </c>
      <c r="T122" s="31">
        <v>3.0999999999999999E-3</v>
      </c>
      <c r="U122" s="31">
        <v>0.14585999999999999</v>
      </c>
      <c r="V122" s="31">
        <v>0.20934</v>
      </c>
      <c r="W122" s="31">
        <v>0.21901000000000001</v>
      </c>
      <c r="X122" s="31">
        <v>68.533929999999998</v>
      </c>
    </row>
    <row r="123" spans="1:24" x14ac:dyDescent="0.25">
      <c r="A123">
        <v>30439</v>
      </c>
      <c r="B123"/>
      <c r="C123">
        <v>60351</v>
      </c>
      <c r="D123">
        <v>56500</v>
      </c>
      <c r="E123"/>
      <c r="F123"/>
      <c r="G123">
        <v>4645</v>
      </c>
      <c r="H123">
        <v>4961</v>
      </c>
      <c r="I123">
        <v>156896</v>
      </c>
      <c r="J123">
        <v>2440</v>
      </c>
      <c r="K123">
        <v>72259</v>
      </c>
      <c r="L123">
        <v>82092</v>
      </c>
      <c r="M123">
        <v>67909</v>
      </c>
      <c r="N123">
        <v>88881</v>
      </c>
      <c r="O123" t="s">
        <v>663</v>
      </c>
      <c r="P123" t="s">
        <v>249</v>
      </c>
      <c r="Q123" s="31">
        <v>328060</v>
      </c>
      <c r="R123" s="31" t="s">
        <v>249</v>
      </c>
      <c r="S123" s="31" t="s">
        <v>663</v>
      </c>
      <c r="T123" s="31">
        <v>1.6000000000000001E-3</v>
      </c>
      <c r="U123" s="31">
        <v>0.17312</v>
      </c>
      <c r="V123" s="31">
        <v>0.13008</v>
      </c>
      <c r="W123" s="31">
        <v>0.10159</v>
      </c>
      <c r="X123" s="31">
        <v>44.609720000000003</v>
      </c>
    </row>
    <row r="124" spans="1:24" x14ac:dyDescent="0.25">
      <c r="A124">
        <v>2512</v>
      </c>
      <c r="B124"/>
      <c r="C124">
        <v>14966</v>
      </c>
      <c r="D124">
        <v>9496</v>
      </c>
      <c r="E124"/>
      <c r="F124"/>
      <c r="G124">
        <v>354</v>
      </c>
      <c r="H124">
        <v>174</v>
      </c>
      <c r="I124">
        <v>27502</v>
      </c>
      <c r="J124">
        <v>10</v>
      </c>
      <c r="K124">
        <v>15823</v>
      </c>
      <c r="L124">
        <v>11621</v>
      </c>
      <c r="M124">
        <v>16750</v>
      </c>
      <c r="N124">
        <v>10704</v>
      </c>
      <c r="O124" t="s">
        <v>915</v>
      </c>
      <c r="P124" t="s">
        <v>509</v>
      </c>
      <c r="Q124" s="31">
        <v>63215</v>
      </c>
      <c r="R124" s="31" t="s">
        <v>509</v>
      </c>
      <c r="S124" s="31" t="s">
        <v>915</v>
      </c>
      <c r="T124" s="31">
        <v>2.48E-3</v>
      </c>
      <c r="U124" s="31">
        <v>0.15265999999999999</v>
      </c>
      <c r="V124" s="31">
        <v>0.17122999999999999</v>
      </c>
      <c r="W124" s="31">
        <v>0.16725999999999999</v>
      </c>
      <c r="X124" s="31">
        <v>66.497020000000006</v>
      </c>
    </row>
    <row r="125" spans="1:24" x14ac:dyDescent="0.25">
      <c r="A125">
        <v>240</v>
      </c>
      <c r="B125"/>
      <c r="C125">
        <v>3407</v>
      </c>
      <c r="D125">
        <v>1079</v>
      </c>
      <c r="E125"/>
      <c r="F125"/>
      <c r="G125">
        <v>250</v>
      </c>
      <c r="H125">
        <v>45</v>
      </c>
      <c r="I125">
        <v>5021</v>
      </c>
      <c r="J125">
        <v>18</v>
      </c>
      <c r="K125">
        <v>3455</v>
      </c>
      <c r="L125">
        <v>1548</v>
      </c>
      <c r="M125">
        <v>4191</v>
      </c>
      <c r="N125">
        <v>830</v>
      </c>
      <c r="O125" t="s">
        <v>648</v>
      </c>
      <c r="P125" t="s">
        <v>234</v>
      </c>
      <c r="Q125" s="31">
        <v>12415</v>
      </c>
      <c r="R125" s="31" t="s">
        <v>234</v>
      </c>
      <c r="S125" s="31" t="s">
        <v>648</v>
      </c>
      <c r="T125" s="31">
        <v>2.8400000000000001E-3</v>
      </c>
      <c r="U125" s="31">
        <v>9.042E-2</v>
      </c>
      <c r="V125" s="31">
        <v>0.25484000000000001</v>
      </c>
      <c r="W125" s="31">
        <v>0.18542</v>
      </c>
      <c r="X125" s="31">
        <v>60.768389999999997</v>
      </c>
    </row>
    <row r="126" spans="1:24" x14ac:dyDescent="0.25">
      <c r="A126">
        <v>962</v>
      </c>
      <c r="B126"/>
      <c r="C126">
        <v>7375</v>
      </c>
      <c r="D126">
        <v>1803</v>
      </c>
      <c r="E126"/>
      <c r="F126"/>
      <c r="G126">
        <v>429</v>
      </c>
      <c r="H126">
        <v>95</v>
      </c>
      <c r="I126">
        <v>10664</v>
      </c>
      <c r="J126">
        <v>1</v>
      </c>
      <c r="K126">
        <v>7133</v>
      </c>
      <c r="L126">
        <v>3529</v>
      </c>
      <c r="M126">
        <v>8921</v>
      </c>
      <c r="N126">
        <v>1743</v>
      </c>
      <c r="O126" t="s">
        <v>841</v>
      </c>
      <c r="P126" t="s">
        <v>419</v>
      </c>
      <c r="Q126" s="31">
        <v>23030</v>
      </c>
      <c r="R126" s="31" t="s">
        <v>419</v>
      </c>
      <c r="S126" s="31" t="s">
        <v>841</v>
      </c>
      <c r="T126" s="31">
        <v>2.7000000000000001E-3</v>
      </c>
      <c r="U126" s="31">
        <v>8.0210000000000004E-2</v>
      </c>
      <c r="V126" s="31">
        <v>0.28815000000000002</v>
      </c>
      <c r="W126" s="31">
        <v>0.17050000000000001</v>
      </c>
      <c r="X126" s="31">
        <v>52.062739999999998</v>
      </c>
    </row>
    <row r="127" spans="1:24" x14ac:dyDescent="0.25">
      <c r="A127">
        <v>1615</v>
      </c>
      <c r="B127"/>
      <c r="C127">
        <v>9291</v>
      </c>
      <c r="D127">
        <v>3254</v>
      </c>
      <c r="E127"/>
      <c r="F127"/>
      <c r="G127">
        <v>242</v>
      </c>
      <c r="H127">
        <v>390</v>
      </c>
      <c r="I127">
        <v>14792</v>
      </c>
      <c r="J127">
        <v>48</v>
      </c>
      <c r="K127">
        <v>9131</v>
      </c>
      <c r="L127">
        <v>5539</v>
      </c>
      <c r="M127">
        <v>10140</v>
      </c>
      <c r="N127">
        <v>4581</v>
      </c>
      <c r="O127" t="s">
        <v>719</v>
      </c>
      <c r="P127" t="s">
        <v>480</v>
      </c>
      <c r="Q127" s="31">
        <v>34240</v>
      </c>
      <c r="R127" s="31" t="s">
        <v>480</v>
      </c>
      <c r="S127" s="31" t="s">
        <v>719</v>
      </c>
      <c r="T127" s="31">
        <v>2.0799999999999998E-3</v>
      </c>
      <c r="U127" s="31">
        <v>9.5850000000000005E-2</v>
      </c>
      <c r="V127" s="31">
        <v>0.20066999999999999</v>
      </c>
      <c r="W127" s="31">
        <v>0.15465999999999999</v>
      </c>
      <c r="X127" s="31">
        <v>53.887929999999997</v>
      </c>
    </row>
    <row r="128" spans="1:24" x14ac:dyDescent="0.25">
      <c r="A128">
        <v>3896</v>
      </c>
      <c r="B128"/>
      <c r="C128">
        <v>14282</v>
      </c>
      <c r="D128">
        <v>10612</v>
      </c>
      <c r="E128"/>
      <c r="F128"/>
      <c r="G128">
        <v>506</v>
      </c>
      <c r="H128">
        <v>396</v>
      </c>
      <c r="I128">
        <v>29692</v>
      </c>
      <c r="J128">
        <v>392</v>
      </c>
      <c r="K128">
        <v>14929</v>
      </c>
      <c r="L128">
        <v>14350</v>
      </c>
      <c r="M128">
        <v>16477</v>
      </c>
      <c r="N128">
        <v>13195</v>
      </c>
      <c r="O128" t="s">
        <v>716</v>
      </c>
      <c r="P128" t="s">
        <v>477</v>
      </c>
      <c r="Q128" s="31">
        <v>61210</v>
      </c>
      <c r="R128" s="31" t="s">
        <v>477</v>
      </c>
      <c r="S128" s="31" t="s">
        <v>716</v>
      </c>
      <c r="T128" s="31">
        <v>2.8300000000000001E-3</v>
      </c>
      <c r="U128" s="31">
        <v>0.17100000000000001</v>
      </c>
      <c r="V128" s="31">
        <v>0.16345000000000001</v>
      </c>
      <c r="W128" s="31">
        <v>0.20282</v>
      </c>
      <c r="X128" s="31">
        <v>72.639290000000003</v>
      </c>
    </row>
    <row r="129" spans="1:24" x14ac:dyDescent="0.25">
      <c r="A129">
        <v>2535</v>
      </c>
      <c r="B129"/>
      <c r="C129">
        <v>16886</v>
      </c>
      <c r="D129">
        <v>8372</v>
      </c>
      <c r="E129"/>
      <c r="F129"/>
      <c r="G129">
        <v>216</v>
      </c>
      <c r="H129">
        <v>348</v>
      </c>
      <c r="I129">
        <v>28357</v>
      </c>
      <c r="J129">
        <v>228</v>
      </c>
      <c r="K129">
        <v>16051</v>
      </c>
      <c r="L129">
        <v>12008</v>
      </c>
      <c r="M129">
        <v>17857</v>
      </c>
      <c r="N129">
        <v>10430</v>
      </c>
      <c r="O129" t="s">
        <v>707</v>
      </c>
      <c r="P129" t="s">
        <v>289</v>
      </c>
      <c r="Q129" s="31">
        <v>61015</v>
      </c>
      <c r="R129" s="31" t="s">
        <v>289</v>
      </c>
      <c r="S129" s="31" t="s">
        <v>707</v>
      </c>
      <c r="T129" s="31">
        <v>2.7699999999999999E-3</v>
      </c>
      <c r="U129" s="31">
        <v>0.13542999999999999</v>
      </c>
      <c r="V129" s="31">
        <v>0.22015999999999999</v>
      </c>
      <c r="W129" s="31">
        <v>0.17935999999999999</v>
      </c>
      <c r="X129" s="31">
        <v>62.163550000000001</v>
      </c>
    </row>
    <row r="130" spans="1:24" x14ac:dyDescent="0.25">
      <c r="A130">
        <v>1511</v>
      </c>
      <c r="B130"/>
      <c r="C130">
        <v>9129</v>
      </c>
      <c r="D130">
        <v>2596</v>
      </c>
      <c r="E130"/>
      <c r="F130"/>
      <c r="G130">
        <v>636</v>
      </c>
      <c r="H130">
        <v>93</v>
      </c>
      <c r="I130">
        <v>13965</v>
      </c>
      <c r="J130">
        <v>280</v>
      </c>
      <c r="K130">
        <v>8646</v>
      </c>
      <c r="L130">
        <v>5039</v>
      </c>
      <c r="M130">
        <v>11047</v>
      </c>
      <c r="N130">
        <v>2918</v>
      </c>
      <c r="O130" t="s">
        <v>658</v>
      </c>
      <c r="P130" t="s">
        <v>244</v>
      </c>
      <c r="Q130" s="31">
        <v>31320</v>
      </c>
      <c r="R130" s="31" t="s">
        <v>244</v>
      </c>
      <c r="S130" s="31" t="s">
        <v>658</v>
      </c>
      <c r="T130" s="31">
        <v>2.5300000000000001E-3</v>
      </c>
      <c r="U130" s="31">
        <v>9.4030000000000002E-2</v>
      </c>
      <c r="V130" s="31">
        <v>0.24292</v>
      </c>
      <c r="W130" s="31">
        <v>0.17953</v>
      </c>
      <c r="X130" s="31">
        <v>54.571359999999999</v>
      </c>
    </row>
    <row r="131" spans="1:24" x14ac:dyDescent="0.25">
      <c r="A131">
        <v>6917</v>
      </c>
      <c r="B131"/>
      <c r="C131">
        <v>29529</v>
      </c>
      <c r="D131">
        <v>13706</v>
      </c>
      <c r="E131"/>
      <c r="F131"/>
      <c r="G131">
        <v>1006</v>
      </c>
      <c r="H131">
        <v>468</v>
      </c>
      <c r="I131">
        <v>51626</v>
      </c>
      <c r="J131">
        <v>441</v>
      </c>
      <c r="K131">
        <v>29958</v>
      </c>
      <c r="L131">
        <v>21122</v>
      </c>
      <c r="M131">
        <v>33100</v>
      </c>
      <c r="N131">
        <v>18420</v>
      </c>
      <c r="O131" t="s">
        <v>857</v>
      </c>
      <c r="P131" t="s">
        <v>425</v>
      </c>
      <c r="Q131" s="31">
        <v>106755</v>
      </c>
      <c r="R131" s="31" t="s">
        <v>425</v>
      </c>
      <c r="S131" s="31" t="s">
        <v>857</v>
      </c>
      <c r="T131" s="31">
        <v>2.48E-3</v>
      </c>
      <c r="U131" s="31">
        <v>0.12870999999999999</v>
      </c>
      <c r="V131" s="31">
        <v>0.17558000000000001</v>
      </c>
      <c r="W131" s="31">
        <v>0.17813000000000001</v>
      </c>
      <c r="X131" s="31">
        <v>67.409310000000005</v>
      </c>
    </row>
    <row r="132" spans="1:24" x14ac:dyDescent="0.25">
      <c r="A132">
        <v>3894</v>
      </c>
      <c r="B132"/>
      <c r="C132">
        <v>18636</v>
      </c>
      <c r="D132">
        <v>20472</v>
      </c>
      <c r="E132"/>
      <c r="F132"/>
      <c r="G132">
        <v>399</v>
      </c>
      <c r="H132">
        <v>661</v>
      </c>
      <c r="I132">
        <v>44062</v>
      </c>
      <c r="J132">
        <v>1549</v>
      </c>
      <c r="K132">
        <v>20298</v>
      </c>
      <c r="L132">
        <v>22215</v>
      </c>
      <c r="M132">
        <v>20958</v>
      </c>
      <c r="N132">
        <v>23104</v>
      </c>
      <c r="O132" t="s">
        <v>569</v>
      </c>
      <c r="P132" t="s">
        <v>160</v>
      </c>
      <c r="Q132" s="31">
        <v>84995</v>
      </c>
      <c r="R132" s="31" t="s">
        <v>160</v>
      </c>
      <c r="S132" s="31" t="s">
        <v>569</v>
      </c>
      <c r="T132" s="31">
        <v>2.5999999999999999E-3</v>
      </c>
      <c r="U132" s="31">
        <v>0.23186999999999999</v>
      </c>
      <c r="V132" s="31">
        <v>0.16617999999999999</v>
      </c>
      <c r="W132" s="31">
        <v>0.18953</v>
      </c>
      <c r="X132" s="31">
        <v>60.158940000000001</v>
      </c>
    </row>
    <row r="133" spans="1:24" x14ac:dyDescent="0.25">
      <c r="A133">
        <v>179041</v>
      </c>
      <c r="B133"/>
      <c r="C133">
        <v>47825</v>
      </c>
      <c r="D133">
        <v>188537</v>
      </c>
      <c r="E133"/>
      <c r="F133"/>
      <c r="G133">
        <v>2717</v>
      </c>
      <c r="H133">
        <v>9112</v>
      </c>
      <c r="I133">
        <v>427232</v>
      </c>
      <c r="J133">
        <v>3246</v>
      </c>
      <c r="K133">
        <v>113922</v>
      </c>
      <c r="L133">
        <v>309764</v>
      </c>
      <c r="M133">
        <v>51988</v>
      </c>
      <c r="N133">
        <v>374943</v>
      </c>
      <c r="O133" t="s">
        <v>746</v>
      </c>
      <c r="P133" t="s">
        <v>316</v>
      </c>
      <c r="Q133" s="31">
        <v>810830</v>
      </c>
      <c r="R133" s="31" t="s">
        <v>316</v>
      </c>
      <c r="S133" s="31" t="s">
        <v>746</v>
      </c>
      <c r="T133" s="31">
        <v>1.8E-3</v>
      </c>
      <c r="U133" s="31">
        <v>0.2392</v>
      </c>
      <c r="V133" s="31">
        <v>5.9619999999999999E-2</v>
      </c>
      <c r="W133" s="31">
        <v>0.12012</v>
      </c>
      <c r="X133" s="31">
        <v>54.804839999999999</v>
      </c>
    </row>
    <row r="134" spans="1:24" x14ac:dyDescent="0.25">
      <c r="A134">
        <v>130</v>
      </c>
      <c r="B134"/>
      <c r="C134">
        <v>2564</v>
      </c>
      <c r="D134">
        <v>738</v>
      </c>
      <c r="E134"/>
      <c r="F134"/>
      <c r="G134">
        <v>257</v>
      </c>
      <c r="H134"/>
      <c r="I134">
        <v>3689</v>
      </c>
      <c r="J134">
        <v>13</v>
      </c>
      <c r="K134">
        <v>2737</v>
      </c>
      <c r="L134">
        <v>939</v>
      </c>
      <c r="M134">
        <v>3274</v>
      </c>
      <c r="N134">
        <v>415</v>
      </c>
      <c r="O134" t="s">
        <v>546</v>
      </c>
      <c r="P134" t="s">
        <v>142</v>
      </c>
      <c r="Q134" s="31">
        <v>8895</v>
      </c>
      <c r="R134" s="31" t="s">
        <v>142</v>
      </c>
      <c r="S134" s="31" t="s">
        <v>546</v>
      </c>
      <c r="T134" s="31">
        <v>2.9099999999999998E-3</v>
      </c>
      <c r="U134" s="31">
        <v>8.3129999999999996E-2</v>
      </c>
      <c r="V134" s="31">
        <v>0.26640999999999998</v>
      </c>
      <c r="W134" s="31">
        <v>0.20194000000000001</v>
      </c>
      <c r="X134" s="31">
        <v>60.538409999999999</v>
      </c>
    </row>
    <row r="135" spans="1:24" x14ac:dyDescent="0.25">
      <c r="A135">
        <v>1954</v>
      </c>
      <c r="B135"/>
      <c r="C135">
        <v>8835</v>
      </c>
      <c r="D135">
        <v>3984</v>
      </c>
      <c r="E135"/>
      <c r="F135"/>
      <c r="G135">
        <v>850</v>
      </c>
      <c r="H135">
        <v>11</v>
      </c>
      <c r="I135">
        <v>15634</v>
      </c>
      <c r="J135">
        <v>232</v>
      </c>
      <c r="K135">
        <v>10434</v>
      </c>
      <c r="L135">
        <v>4816</v>
      </c>
      <c r="M135">
        <v>11122</v>
      </c>
      <c r="N135">
        <v>4512</v>
      </c>
      <c r="O135" t="s">
        <v>659</v>
      </c>
      <c r="P135" t="s">
        <v>245</v>
      </c>
      <c r="Q135" s="31">
        <v>30035</v>
      </c>
      <c r="R135" s="31" t="s">
        <v>245</v>
      </c>
      <c r="S135" s="31" t="s">
        <v>659</v>
      </c>
      <c r="T135" s="31">
        <v>4.1999999999999997E-3</v>
      </c>
      <c r="U135" s="31">
        <v>0.13517000000000001</v>
      </c>
      <c r="V135" s="31">
        <v>0.26693</v>
      </c>
      <c r="W135" s="31">
        <v>0.30214000000000002</v>
      </c>
      <c r="X135" s="31">
        <v>73.907470000000004</v>
      </c>
    </row>
    <row r="136" spans="1:24" x14ac:dyDescent="0.25">
      <c r="A136">
        <v>5226</v>
      </c>
      <c r="B136"/>
      <c r="C136">
        <v>9540</v>
      </c>
      <c r="D136">
        <v>4202</v>
      </c>
      <c r="E136"/>
      <c r="F136"/>
      <c r="G136">
        <v>274</v>
      </c>
      <c r="H136">
        <v>307</v>
      </c>
      <c r="I136">
        <v>19549</v>
      </c>
      <c r="J136">
        <v>7</v>
      </c>
      <c r="K136">
        <v>9874</v>
      </c>
      <c r="L136">
        <v>9630</v>
      </c>
      <c r="M136">
        <v>10715</v>
      </c>
      <c r="N136">
        <v>8796</v>
      </c>
      <c r="O136" t="s">
        <v>599</v>
      </c>
      <c r="P136" t="s">
        <v>194</v>
      </c>
      <c r="Q136" s="31">
        <v>40055</v>
      </c>
      <c r="R136" s="31" t="s">
        <v>194</v>
      </c>
      <c r="S136" s="31" t="s">
        <v>599</v>
      </c>
      <c r="T136" s="31">
        <v>2.5500000000000002E-3</v>
      </c>
      <c r="U136" s="31">
        <v>0.11719</v>
      </c>
      <c r="V136" s="31">
        <v>0.14679</v>
      </c>
      <c r="W136" s="31">
        <v>0.17383999999999999</v>
      </c>
      <c r="X136" s="31">
        <v>72.629400000000004</v>
      </c>
    </row>
    <row r="137" spans="1:24" x14ac:dyDescent="0.25">
      <c r="A137">
        <v>308</v>
      </c>
      <c r="B137"/>
      <c r="C137">
        <v>3426</v>
      </c>
      <c r="D137">
        <v>595</v>
      </c>
      <c r="E137"/>
      <c r="F137"/>
      <c r="G137">
        <v>50</v>
      </c>
      <c r="H137"/>
      <c r="I137">
        <v>4379</v>
      </c>
      <c r="J137">
        <v>0</v>
      </c>
      <c r="K137">
        <v>2755</v>
      </c>
      <c r="L137">
        <v>1624</v>
      </c>
      <c r="M137">
        <v>3848</v>
      </c>
      <c r="N137">
        <v>531</v>
      </c>
      <c r="O137" t="s">
        <v>671</v>
      </c>
      <c r="P137" t="s">
        <v>254</v>
      </c>
      <c r="Q137" s="31">
        <v>9095</v>
      </c>
      <c r="R137" s="31" t="s">
        <v>254</v>
      </c>
      <c r="S137" s="31" t="s">
        <v>671</v>
      </c>
      <c r="T137" s="31">
        <v>3.8700000000000002E-3</v>
      </c>
      <c r="U137" s="31">
        <v>6.8930000000000005E-2</v>
      </c>
      <c r="V137" s="31">
        <v>0.45080999999999999</v>
      </c>
      <c r="W137" s="31">
        <v>0.26866000000000001</v>
      </c>
      <c r="X137" s="31">
        <v>51.854909999999997</v>
      </c>
    </row>
    <row r="138" spans="1:24" x14ac:dyDescent="0.25">
      <c r="A138">
        <v>1285</v>
      </c>
      <c r="B138"/>
      <c r="C138">
        <v>6870</v>
      </c>
      <c r="D138">
        <v>1683</v>
      </c>
      <c r="E138"/>
      <c r="F138"/>
      <c r="G138">
        <v>154</v>
      </c>
      <c r="H138">
        <v>55</v>
      </c>
      <c r="I138">
        <v>10047</v>
      </c>
      <c r="J138">
        <v>10</v>
      </c>
      <c r="K138">
        <v>6771</v>
      </c>
      <c r="L138">
        <v>3266</v>
      </c>
      <c r="M138">
        <v>7558</v>
      </c>
      <c r="N138">
        <v>2489</v>
      </c>
      <c r="O138" t="s">
        <v>832</v>
      </c>
      <c r="P138" t="s">
        <v>403</v>
      </c>
      <c r="Q138" s="31">
        <v>22030</v>
      </c>
      <c r="R138" s="31" t="s">
        <v>403</v>
      </c>
      <c r="S138" s="31" t="s">
        <v>832</v>
      </c>
      <c r="T138" s="31">
        <v>3.47E-3</v>
      </c>
      <c r="U138" s="31">
        <v>8.2720000000000002E-2</v>
      </c>
      <c r="V138" s="31">
        <v>0.37977</v>
      </c>
      <c r="W138" s="31">
        <v>0.26422000000000001</v>
      </c>
      <c r="X138" s="31">
        <v>49.494450000000001</v>
      </c>
    </row>
    <row r="139" spans="1:24" x14ac:dyDescent="0.25">
      <c r="A139">
        <v>2079</v>
      </c>
      <c r="B139"/>
      <c r="C139">
        <v>9115</v>
      </c>
      <c r="D139">
        <v>4489</v>
      </c>
      <c r="E139"/>
      <c r="F139"/>
      <c r="G139">
        <v>398</v>
      </c>
      <c r="H139">
        <v>24</v>
      </c>
      <c r="I139">
        <v>16105</v>
      </c>
      <c r="J139">
        <v>363</v>
      </c>
      <c r="K139">
        <v>9513</v>
      </c>
      <c r="L139">
        <v>6228</v>
      </c>
      <c r="M139">
        <v>9780</v>
      </c>
      <c r="N139">
        <v>6324</v>
      </c>
      <c r="O139" t="s">
        <v>849</v>
      </c>
      <c r="P139" t="s">
        <v>421</v>
      </c>
      <c r="Q139" s="31">
        <v>32595</v>
      </c>
      <c r="R139" s="31" t="s">
        <v>421</v>
      </c>
      <c r="S139" s="31" t="s">
        <v>849</v>
      </c>
      <c r="T139" s="31">
        <v>2.9399999999999999E-3</v>
      </c>
      <c r="U139" s="31">
        <v>0.13769999999999999</v>
      </c>
      <c r="V139" s="31">
        <v>0.23898</v>
      </c>
      <c r="W139" s="31">
        <v>0.20855000000000001</v>
      </c>
      <c r="X139" s="31">
        <v>57.978520000000003</v>
      </c>
    </row>
    <row r="140" spans="1:24" x14ac:dyDescent="0.25">
      <c r="A140">
        <v>1608</v>
      </c>
      <c r="B140"/>
      <c r="C140">
        <v>10424</v>
      </c>
      <c r="D140">
        <v>3377</v>
      </c>
      <c r="E140"/>
      <c r="F140"/>
      <c r="G140">
        <v>346</v>
      </c>
      <c r="H140">
        <v>67</v>
      </c>
      <c r="I140">
        <v>15822</v>
      </c>
      <c r="J140">
        <v>72</v>
      </c>
      <c r="K140">
        <v>11482</v>
      </c>
      <c r="L140">
        <v>4269</v>
      </c>
      <c r="M140">
        <v>12389</v>
      </c>
      <c r="N140">
        <v>3433</v>
      </c>
      <c r="O140" t="s">
        <v>747</v>
      </c>
      <c r="P140" t="s">
        <v>450</v>
      </c>
      <c r="Q140" s="31">
        <v>34265</v>
      </c>
      <c r="R140" s="31" t="s">
        <v>450</v>
      </c>
      <c r="S140" s="31" t="s">
        <v>747</v>
      </c>
      <c r="T140" s="31">
        <v>3.5599999999999998E-3</v>
      </c>
      <c r="U140" s="31">
        <v>9.9470000000000003E-2</v>
      </c>
      <c r="V140" s="31">
        <v>0.30652000000000001</v>
      </c>
      <c r="W140" s="31">
        <v>0.2374</v>
      </c>
      <c r="X140" s="31">
        <v>61.582709999999999</v>
      </c>
    </row>
    <row r="141" spans="1:24" x14ac:dyDescent="0.25">
      <c r="A141">
        <v>2701</v>
      </c>
      <c r="B141"/>
      <c r="C141">
        <v>5202</v>
      </c>
      <c r="D141">
        <v>5691</v>
      </c>
      <c r="E141"/>
      <c r="F141"/>
      <c r="G141">
        <v>79</v>
      </c>
      <c r="H141">
        <v>49</v>
      </c>
      <c r="I141">
        <v>13722</v>
      </c>
      <c r="J141">
        <v>323</v>
      </c>
      <c r="K141">
        <v>5052</v>
      </c>
      <c r="L141">
        <v>7379</v>
      </c>
      <c r="M141">
        <v>5413</v>
      </c>
      <c r="N141">
        <v>8271</v>
      </c>
      <c r="O141" t="s">
        <v>712</v>
      </c>
      <c r="P141" t="s">
        <v>473</v>
      </c>
      <c r="Q141" s="31">
        <v>25900</v>
      </c>
      <c r="R141" s="31" t="s">
        <v>473</v>
      </c>
      <c r="S141" s="31" t="s">
        <v>712</v>
      </c>
      <c r="T141" s="31">
        <v>2.0500000000000002E-3</v>
      </c>
      <c r="U141" s="31">
        <v>0.23288</v>
      </c>
      <c r="V141" s="31">
        <v>0.13435</v>
      </c>
      <c r="W141" s="31">
        <v>0.15595999999999999</v>
      </c>
      <c r="X141" s="31">
        <v>51.998370000000001</v>
      </c>
    </row>
    <row r="142" spans="1:24" x14ac:dyDescent="0.25">
      <c r="A142">
        <v>746</v>
      </c>
      <c r="B142"/>
      <c r="C142">
        <v>10058</v>
      </c>
      <c r="D142">
        <v>1297</v>
      </c>
      <c r="E142"/>
      <c r="F142"/>
      <c r="G142">
        <v>190</v>
      </c>
      <c r="H142">
        <v>114</v>
      </c>
      <c r="I142">
        <v>12405</v>
      </c>
      <c r="J142">
        <v>182</v>
      </c>
      <c r="K142">
        <v>9174</v>
      </c>
      <c r="L142">
        <v>3032</v>
      </c>
      <c r="M142">
        <v>10573</v>
      </c>
      <c r="N142">
        <v>1815</v>
      </c>
      <c r="O142" t="s">
        <v>879</v>
      </c>
      <c r="P142" t="s">
        <v>503</v>
      </c>
      <c r="Q142" s="31">
        <v>28915</v>
      </c>
      <c r="R142" s="31" t="s">
        <v>503</v>
      </c>
      <c r="S142" s="31" t="s">
        <v>879</v>
      </c>
      <c r="T142" s="31">
        <v>2.6700000000000001E-3</v>
      </c>
      <c r="U142" s="31">
        <v>4.8250000000000001E-2</v>
      </c>
      <c r="V142" s="31">
        <v>0.31480000000000002</v>
      </c>
      <c r="W142" s="31">
        <v>0.18984999999999999</v>
      </c>
      <c r="X142" s="31">
        <v>53.509279999999997</v>
      </c>
    </row>
    <row r="143" spans="1:24" x14ac:dyDescent="0.25">
      <c r="A143">
        <v>1428</v>
      </c>
      <c r="B143"/>
      <c r="C143">
        <v>5697</v>
      </c>
      <c r="D143">
        <v>1573</v>
      </c>
      <c r="E143"/>
      <c r="F143"/>
      <c r="G143">
        <v>228</v>
      </c>
      <c r="H143">
        <v>120</v>
      </c>
      <c r="I143">
        <v>9046</v>
      </c>
      <c r="J143">
        <v>143</v>
      </c>
      <c r="K143">
        <v>5205</v>
      </c>
      <c r="L143">
        <v>3699</v>
      </c>
      <c r="M143">
        <v>6660</v>
      </c>
      <c r="N143">
        <v>2386</v>
      </c>
      <c r="O143" t="s">
        <v>580</v>
      </c>
      <c r="P143" t="s">
        <v>466</v>
      </c>
      <c r="Q143" s="31">
        <v>18370</v>
      </c>
      <c r="R143" s="31" t="s">
        <v>466</v>
      </c>
      <c r="S143" s="31" t="s">
        <v>580</v>
      </c>
      <c r="T143" s="31">
        <v>2.7699999999999999E-3</v>
      </c>
      <c r="U143" s="31">
        <v>9.8320000000000005E-2</v>
      </c>
      <c r="V143" s="31">
        <v>0.19622999999999999</v>
      </c>
      <c r="W143" s="31">
        <v>0.19431000000000001</v>
      </c>
      <c r="X143" s="31">
        <v>71.762150000000005</v>
      </c>
    </row>
    <row r="144" spans="1:24" x14ac:dyDescent="0.25">
      <c r="A144">
        <v>14881</v>
      </c>
      <c r="B144"/>
      <c r="C144">
        <v>35590</v>
      </c>
      <c r="D144">
        <v>21463</v>
      </c>
      <c r="E144"/>
      <c r="F144"/>
      <c r="G144">
        <v>2413</v>
      </c>
      <c r="H144">
        <v>434</v>
      </c>
      <c r="I144">
        <v>74781</v>
      </c>
      <c r="J144">
        <v>345</v>
      </c>
      <c r="K144">
        <v>39080</v>
      </c>
      <c r="L144">
        <v>35356</v>
      </c>
      <c r="M144">
        <v>38995</v>
      </c>
      <c r="N144">
        <v>35787</v>
      </c>
      <c r="O144" t="s">
        <v>704</v>
      </c>
      <c r="P144" t="s">
        <v>286</v>
      </c>
      <c r="Q144" s="31">
        <v>155250</v>
      </c>
      <c r="R144" s="31" t="s">
        <v>286</v>
      </c>
      <c r="S144" s="31" t="s">
        <v>704</v>
      </c>
      <c r="T144" s="31">
        <v>2.4299999999999999E-3</v>
      </c>
      <c r="U144" s="31">
        <v>0.13633000000000001</v>
      </c>
      <c r="V144" s="31">
        <v>0.15773999999999999</v>
      </c>
      <c r="W144" s="31">
        <v>0.16711000000000001</v>
      </c>
      <c r="X144" s="31">
        <v>64.102019999999996</v>
      </c>
    </row>
    <row r="145" spans="1:24" x14ac:dyDescent="0.25">
      <c r="A145">
        <v>252</v>
      </c>
      <c r="B145"/>
      <c r="C145">
        <v>1525</v>
      </c>
      <c r="D145">
        <v>450</v>
      </c>
      <c r="E145"/>
      <c r="F145"/>
      <c r="G145">
        <v>43</v>
      </c>
      <c r="H145"/>
      <c r="I145">
        <v>2270</v>
      </c>
      <c r="J145">
        <v>12</v>
      </c>
      <c r="K145">
        <v>1520</v>
      </c>
      <c r="L145">
        <v>737</v>
      </c>
      <c r="M145">
        <v>1761</v>
      </c>
      <c r="N145">
        <v>510</v>
      </c>
      <c r="O145" t="s">
        <v>782</v>
      </c>
      <c r="P145" t="s">
        <v>496</v>
      </c>
      <c r="Q145" s="31">
        <v>5390</v>
      </c>
      <c r="R145" s="31" t="s">
        <v>496</v>
      </c>
      <c r="S145" s="31" t="s">
        <v>782</v>
      </c>
      <c r="T145" s="31">
        <v>2.7299999999999998E-3</v>
      </c>
      <c r="U145" s="31">
        <v>8.1860000000000002E-2</v>
      </c>
      <c r="V145" s="31">
        <v>0.26461000000000001</v>
      </c>
      <c r="W145" s="31">
        <v>0.17730000000000001</v>
      </c>
      <c r="X145" s="31">
        <v>55.665999999999997</v>
      </c>
    </row>
    <row r="146" spans="1:24" x14ac:dyDescent="0.25">
      <c r="A146">
        <v>5472</v>
      </c>
      <c r="B146"/>
      <c r="C146">
        <v>38414</v>
      </c>
      <c r="D146">
        <v>14428</v>
      </c>
      <c r="E146"/>
      <c r="F146"/>
      <c r="G146">
        <v>1634</v>
      </c>
      <c r="H146">
        <v>660</v>
      </c>
      <c r="I146">
        <v>60608</v>
      </c>
      <c r="J146">
        <v>148</v>
      </c>
      <c r="K146">
        <v>38933</v>
      </c>
      <c r="L146">
        <v>21464</v>
      </c>
      <c r="M146">
        <v>44477</v>
      </c>
      <c r="N146">
        <v>16070</v>
      </c>
      <c r="O146" t="s">
        <v>592</v>
      </c>
      <c r="P146" t="s">
        <v>187</v>
      </c>
      <c r="Q146" s="31">
        <v>143340</v>
      </c>
      <c r="R146" s="31" t="s">
        <v>187</v>
      </c>
      <c r="S146" s="31" t="s">
        <v>592</v>
      </c>
      <c r="T146" s="31">
        <v>2.1800000000000001E-3</v>
      </c>
      <c r="U146" s="31">
        <v>0.10083</v>
      </c>
      <c r="V146" s="31">
        <v>0.23141</v>
      </c>
      <c r="W146" s="31">
        <v>0.15540999999999999</v>
      </c>
      <c r="X146" s="31">
        <v>48.776820000000001</v>
      </c>
    </row>
    <row r="147" spans="1:24" x14ac:dyDescent="0.25">
      <c r="A147">
        <v>1890</v>
      </c>
      <c r="B147"/>
      <c r="C147">
        <v>10534</v>
      </c>
      <c r="D147">
        <v>5193</v>
      </c>
      <c r="E147"/>
      <c r="F147"/>
      <c r="G147">
        <v>117</v>
      </c>
      <c r="H147">
        <v>129</v>
      </c>
      <c r="I147">
        <v>17863</v>
      </c>
      <c r="J147">
        <v>174</v>
      </c>
      <c r="K147">
        <v>9455</v>
      </c>
      <c r="L147">
        <v>8203</v>
      </c>
      <c r="M147">
        <v>11615</v>
      </c>
      <c r="N147">
        <v>6217</v>
      </c>
      <c r="O147" t="s">
        <v>749</v>
      </c>
      <c r="P147" t="s">
        <v>452</v>
      </c>
      <c r="Q147" s="31">
        <v>39010</v>
      </c>
      <c r="R147" s="31" t="s">
        <v>452</v>
      </c>
      <c r="S147" s="31" t="s">
        <v>749</v>
      </c>
      <c r="T147" s="31">
        <v>3.31E-3</v>
      </c>
      <c r="U147" s="31">
        <v>0.13667000000000001</v>
      </c>
      <c r="V147" s="31">
        <v>0.20616000000000001</v>
      </c>
      <c r="W147" s="31">
        <v>0.20876</v>
      </c>
      <c r="X147" s="31">
        <v>78.296930000000003</v>
      </c>
    </row>
    <row r="148" spans="1:24" x14ac:dyDescent="0.25">
      <c r="A148">
        <v>1715</v>
      </c>
      <c r="B148"/>
      <c r="C148">
        <v>7970</v>
      </c>
      <c r="D148">
        <v>3370</v>
      </c>
      <c r="E148"/>
      <c r="F148"/>
      <c r="G148">
        <v>248</v>
      </c>
      <c r="H148">
        <v>309</v>
      </c>
      <c r="I148">
        <v>13612</v>
      </c>
      <c r="J148">
        <v>129</v>
      </c>
      <c r="K148">
        <v>8276</v>
      </c>
      <c r="L148">
        <v>5207</v>
      </c>
      <c r="M148">
        <v>8981</v>
      </c>
      <c r="N148">
        <v>4631</v>
      </c>
      <c r="O148" t="s">
        <v>769</v>
      </c>
      <c r="P148" t="s">
        <v>335</v>
      </c>
      <c r="Q148" s="31">
        <v>26335</v>
      </c>
      <c r="R148" s="31" t="s">
        <v>335</v>
      </c>
      <c r="S148" s="31" t="s">
        <v>769</v>
      </c>
      <c r="T148" s="31">
        <v>3.81E-3</v>
      </c>
      <c r="U148" s="31">
        <v>0.13575000000000001</v>
      </c>
      <c r="V148" s="31">
        <v>0.25662000000000001</v>
      </c>
      <c r="W148" s="31">
        <v>0.26407000000000003</v>
      </c>
      <c r="X148" s="31">
        <v>72.028530000000003</v>
      </c>
    </row>
    <row r="149" spans="1:24" x14ac:dyDescent="0.25">
      <c r="A149">
        <v>914</v>
      </c>
      <c r="B149"/>
      <c r="C149">
        <v>15725</v>
      </c>
      <c r="D149">
        <v>5876</v>
      </c>
      <c r="E149"/>
      <c r="F149"/>
      <c r="G149">
        <v>270</v>
      </c>
      <c r="H149">
        <v>380</v>
      </c>
      <c r="I149">
        <v>23165</v>
      </c>
      <c r="J149">
        <v>44</v>
      </c>
      <c r="K149">
        <v>15915</v>
      </c>
      <c r="L149">
        <v>7092</v>
      </c>
      <c r="M149">
        <v>17999</v>
      </c>
      <c r="N149">
        <v>5052</v>
      </c>
      <c r="O149" t="s">
        <v>837</v>
      </c>
      <c r="P149" t="s">
        <v>393</v>
      </c>
      <c r="Q149" s="31">
        <v>53245</v>
      </c>
      <c r="R149" s="31" t="s">
        <v>393</v>
      </c>
      <c r="S149" s="31" t="s">
        <v>837</v>
      </c>
      <c r="T149" s="31">
        <v>2.4399999999999999E-3</v>
      </c>
      <c r="U149" s="31">
        <v>0.10865</v>
      </c>
      <c r="V149" s="31">
        <v>0.23411999999999999</v>
      </c>
      <c r="W149" s="31">
        <v>0.1671</v>
      </c>
      <c r="X149" s="31">
        <v>57.552039999999998</v>
      </c>
    </row>
    <row r="150" spans="1:24" x14ac:dyDescent="0.25">
      <c r="A150">
        <v>1276</v>
      </c>
      <c r="B150"/>
      <c r="C150">
        <v>6661</v>
      </c>
      <c r="D150">
        <v>2274</v>
      </c>
      <c r="E150"/>
      <c r="F150"/>
      <c r="G150">
        <v>127</v>
      </c>
      <c r="H150">
        <v>134</v>
      </c>
      <c r="I150">
        <v>10472</v>
      </c>
      <c r="J150">
        <v>86</v>
      </c>
      <c r="K150">
        <v>7509</v>
      </c>
      <c r="L150">
        <v>2863</v>
      </c>
      <c r="M150">
        <v>8006</v>
      </c>
      <c r="N150">
        <v>2452</v>
      </c>
      <c r="O150" t="s">
        <v>743</v>
      </c>
      <c r="P150" t="s">
        <v>313</v>
      </c>
      <c r="Q150" s="31">
        <v>22600</v>
      </c>
      <c r="R150" s="31" t="s">
        <v>313</v>
      </c>
      <c r="S150" s="31" t="s">
        <v>743</v>
      </c>
      <c r="T150" s="31">
        <v>4.1099999999999999E-3</v>
      </c>
      <c r="U150" s="31">
        <v>0.10765</v>
      </c>
      <c r="V150" s="31">
        <v>0.31475999999999998</v>
      </c>
      <c r="W150" s="31">
        <v>0.25985999999999998</v>
      </c>
      <c r="X150" s="31">
        <v>67.248220000000003</v>
      </c>
    </row>
    <row r="151" spans="1:24" x14ac:dyDescent="0.25">
      <c r="A151">
        <v>4657</v>
      </c>
      <c r="B151"/>
      <c r="C151">
        <v>17380</v>
      </c>
      <c r="D151">
        <v>5553</v>
      </c>
      <c r="E151"/>
      <c r="F151"/>
      <c r="G151">
        <v>522</v>
      </c>
      <c r="H151">
        <v>483</v>
      </c>
      <c r="I151">
        <v>28595</v>
      </c>
      <c r="J151">
        <v>299</v>
      </c>
      <c r="K151">
        <v>15003</v>
      </c>
      <c r="L151">
        <v>13220</v>
      </c>
      <c r="M151">
        <v>20712</v>
      </c>
      <c r="N151">
        <v>7811</v>
      </c>
      <c r="O151" t="s">
        <v>881</v>
      </c>
      <c r="P151" t="s">
        <v>519</v>
      </c>
      <c r="Q151" s="31">
        <v>56485</v>
      </c>
      <c r="R151" s="31" t="s">
        <v>519</v>
      </c>
      <c r="S151" s="31" t="s">
        <v>881</v>
      </c>
      <c r="T151" s="31">
        <v>3.0000000000000001E-3</v>
      </c>
      <c r="U151" s="31">
        <v>0.10577</v>
      </c>
      <c r="V151" s="31">
        <v>0.16764999999999999</v>
      </c>
      <c r="W151" s="31">
        <v>0.20729</v>
      </c>
      <c r="X151" s="31">
        <v>89.270889999999994</v>
      </c>
    </row>
    <row r="152" spans="1:24" x14ac:dyDescent="0.25">
      <c r="A152">
        <v>7778</v>
      </c>
      <c r="B152"/>
      <c r="C152">
        <v>23676</v>
      </c>
      <c r="D152">
        <v>10207</v>
      </c>
      <c r="E152"/>
      <c r="F152"/>
      <c r="G152">
        <v>669</v>
      </c>
      <c r="H152">
        <v>308</v>
      </c>
      <c r="I152">
        <v>42638</v>
      </c>
      <c r="J152">
        <v>335</v>
      </c>
      <c r="K152">
        <v>22199</v>
      </c>
      <c r="L152">
        <v>19998</v>
      </c>
      <c r="M152">
        <v>25925</v>
      </c>
      <c r="N152">
        <v>16607</v>
      </c>
      <c r="O152" t="s">
        <v>732</v>
      </c>
      <c r="P152" t="s">
        <v>302</v>
      </c>
      <c r="Q152" s="31">
        <v>86340</v>
      </c>
      <c r="R152" s="31" t="s">
        <v>302</v>
      </c>
      <c r="S152" s="31" t="s">
        <v>732</v>
      </c>
      <c r="T152" s="31">
        <v>2.7799999999999999E-3</v>
      </c>
      <c r="U152" s="31">
        <v>0.11636000000000001</v>
      </c>
      <c r="V152" s="31">
        <v>0.18798000000000001</v>
      </c>
      <c r="W152" s="31">
        <v>0.19012000000000001</v>
      </c>
      <c r="X152" s="31">
        <v>69.017359999999996</v>
      </c>
    </row>
    <row r="153" spans="1:24" x14ac:dyDescent="0.25">
      <c r="A153">
        <v>4141</v>
      </c>
      <c r="B153"/>
      <c r="C153">
        <v>21660</v>
      </c>
      <c r="D153">
        <v>6353</v>
      </c>
      <c r="E153"/>
      <c r="F153"/>
      <c r="G153">
        <v>387</v>
      </c>
      <c r="H153">
        <v>400</v>
      </c>
      <c r="I153">
        <v>32941</v>
      </c>
      <c r="J153">
        <v>73</v>
      </c>
      <c r="K153">
        <v>18779</v>
      </c>
      <c r="L153">
        <v>13838</v>
      </c>
      <c r="M153">
        <v>23702</v>
      </c>
      <c r="N153">
        <v>9137</v>
      </c>
      <c r="O153" t="s">
        <v>634</v>
      </c>
      <c r="P153" t="s">
        <v>431</v>
      </c>
      <c r="Q153" s="31">
        <v>71575</v>
      </c>
      <c r="R153" s="31" t="s">
        <v>431</v>
      </c>
      <c r="S153" s="31" t="s">
        <v>634</v>
      </c>
      <c r="T153" s="31">
        <v>2.5100000000000001E-3</v>
      </c>
      <c r="U153" s="31">
        <v>9.5430000000000001E-2</v>
      </c>
      <c r="V153" s="31">
        <v>0.20674000000000001</v>
      </c>
      <c r="W153" s="31">
        <v>0.17399000000000001</v>
      </c>
      <c r="X153" s="31">
        <v>64.112229999999997</v>
      </c>
    </row>
    <row r="154" spans="1:24" x14ac:dyDescent="0.25">
      <c r="A154">
        <v>2930</v>
      </c>
      <c r="B154"/>
      <c r="C154">
        <v>12786</v>
      </c>
      <c r="D154">
        <v>3766</v>
      </c>
      <c r="E154"/>
      <c r="F154"/>
      <c r="G154">
        <v>196</v>
      </c>
      <c r="H154">
        <v>904</v>
      </c>
      <c r="I154">
        <v>20582</v>
      </c>
      <c r="J154">
        <v>98</v>
      </c>
      <c r="K154">
        <v>11366</v>
      </c>
      <c r="L154">
        <v>9034</v>
      </c>
      <c r="M154">
        <v>14900</v>
      </c>
      <c r="N154">
        <v>5599</v>
      </c>
      <c r="O154" t="s">
        <v>918</v>
      </c>
      <c r="P154" t="s">
        <v>512</v>
      </c>
      <c r="Q154" s="31">
        <v>41195</v>
      </c>
      <c r="R154" s="31" t="s">
        <v>512</v>
      </c>
      <c r="S154" s="31" t="s">
        <v>918</v>
      </c>
      <c r="T154" s="31">
        <v>2.9299999999999999E-3</v>
      </c>
      <c r="U154" s="31">
        <v>9.3759999999999996E-2</v>
      </c>
      <c r="V154" s="31">
        <v>0.24489</v>
      </c>
      <c r="W154" s="31">
        <v>0.20538000000000001</v>
      </c>
      <c r="X154" s="31">
        <v>62.481909999999999</v>
      </c>
    </row>
    <row r="155" spans="1:24" x14ac:dyDescent="0.25">
      <c r="A155">
        <v>445</v>
      </c>
      <c r="B155"/>
      <c r="C155">
        <v>3489</v>
      </c>
      <c r="D155">
        <v>749</v>
      </c>
      <c r="E155"/>
      <c r="F155"/>
      <c r="G155">
        <v>85</v>
      </c>
      <c r="H155"/>
      <c r="I155">
        <v>4768</v>
      </c>
      <c r="J155">
        <v>0</v>
      </c>
      <c r="K155">
        <v>3072</v>
      </c>
      <c r="L155">
        <v>1696</v>
      </c>
      <c r="M155">
        <v>4140</v>
      </c>
      <c r="N155">
        <v>628</v>
      </c>
      <c r="O155" t="s">
        <v>916</v>
      </c>
      <c r="P155" t="s">
        <v>510</v>
      </c>
      <c r="Q155" s="31">
        <v>10435</v>
      </c>
      <c r="R155" s="31" t="s">
        <v>510</v>
      </c>
      <c r="S155" s="31" t="s">
        <v>916</v>
      </c>
      <c r="T155" s="31">
        <v>2.8800000000000002E-3</v>
      </c>
      <c r="U155" s="31">
        <v>7.0870000000000002E-2</v>
      </c>
      <c r="V155" s="31">
        <v>0.27712999999999999</v>
      </c>
      <c r="W155" s="31">
        <v>0.20716000000000001</v>
      </c>
      <c r="X155" s="31">
        <v>60.179389999999998</v>
      </c>
    </row>
    <row r="156" spans="1:24" x14ac:dyDescent="0.25">
      <c r="A156">
        <v>709</v>
      </c>
      <c r="B156"/>
      <c r="C156">
        <v>8017</v>
      </c>
      <c r="D156">
        <v>2360</v>
      </c>
      <c r="E156"/>
      <c r="F156"/>
      <c r="G156">
        <v>227</v>
      </c>
      <c r="H156">
        <v>103</v>
      </c>
      <c r="I156">
        <v>11416</v>
      </c>
      <c r="J156">
        <v>55</v>
      </c>
      <c r="K156">
        <v>8476</v>
      </c>
      <c r="L156">
        <v>2886</v>
      </c>
      <c r="M156">
        <v>9771</v>
      </c>
      <c r="N156">
        <v>1645</v>
      </c>
      <c r="O156" t="s">
        <v>870</v>
      </c>
      <c r="P156" t="s">
        <v>457</v>
      </c>
      <c r="Q156" s="31">
        <v>26920</v>
      </c>
      <c r="R156" s="31" t="s">
        <v>457</v>
      </c>
      <c r="S156" s="31" t="s">
        <v>870</v>
      </c>
      <c r="T156" s="31">
        <v>2.63E-3</v>
      </c>
      <c r="U156" s="31">
        <v>8.6410000000000001E-2</v>
      </c>
      <c r="V156" s="31">
        <v>0.29031000000000001</v>
      </c>
      <c r="W156" s="31">
        <v>0.18176999999999999</v>
      </c>
      <c r="X156" s="31">
        <v>50.955880000000001</v>
      </c>
    </row>
    <row r="157" spans="1:24" x14ac:dyDescent="0.25">
      <c r="A157">
        <v>463</v>
      </c>
      <c r="B157"/>
      <c r="C157">
        <v>3813</v>
      </c>
      <c r="D157">
        <v>914</v>
      </c>
      <c r="E157"/>
      <c r="F157"/>
      <c r="G157">
        <v>108</v>
      </c>
      <c r="H157"/>
      <c r="I157">
        <v>5298</v>
      </c>
      <c r="J157">
        <v>42</v>
      </c>
      <c r="K157">
        <v>3296</v>
      </c>
      <c r="L157">
        <v>1960</v>
      </c>
      <c r="M157">
        <v>4436</v>
      </c>
      <c r="N157">
        <v>862</v>
      </c>
      <c r="O157" t="s">
        <v>753</v>
      </c>
      <c r="P157" t="s">
        <v>319</v>
      </c>
      <c r="Q157" s="31">
        <v>10845</v>
      </c>
      <c r="R157" s="31" t="s">
        <v>319</v>
      </c>
      <c r="S157" s="31" t="s">
        <v>753</v>
      </c>
      <c r="T157" s="31">
        <v>3.8700000000000002E-3</v>
      </c>
      <c r="U157" s="31">
        <v>8.115E-2</v>
      </c>
      <c r="V157" s="31">
        <v>0.35152</v>
      </c>
      <c r="W157" s="31">
        <v>0.30951000000000001</v>
      </c>
      <c r="X157" s="31">
        <v>62.851280000000003</v>
      </c>
    </row>
    <row r="158" spans="1:24" x14ac:dyDescent="0.25">
      <c r="A158">
        <v>996</v>
      </c>
      <c r="B158"/>
      <c r="C158">
        <v>12614</v>
      </c>
      <c r="D158">
        <v>3968</v>
      </c>
      <c r="E158"/>
      <c r="F158"/>
      <c r="G158">
        <v>923</v>
      </c>
      <c r="H158">
        <v>9</v>
      </c>
      <c r="I158">
        <v>18510</v>
      </c>
      <c r="J158">
        <v>121</v>
      </c>
      <c r="K158">
        <v>12681</v>
      </c>
      <c r="L158">
        <v>5697</v>
      </c>
      <c r="M158">
        <v>16115</v>
      </c>
      <c r="N158">
        <v>2385</v>
      </c>
      <c r="O158" t="s">
        <v>556</v>
      </c>
      <c r="P158" t="s">
        <v>150</v>
      </c>
      <c r="Q158" s="31">
        <v>43270</v>
      </c>
      <c r="R158" s="31" t="s">
        <v>150</v>
      </c>
      <c r="S158" s="31" t="s">
        <v>556</v>
      </c>
      <c r="T158" s="31">
        <v>2.7799999999999999E-3</v>
      </c>
      <c r="U158" s="31">
        <v>9.103E-2</v>
      </c>
      <c r="V158" s="31">
        <v>0.24643000000000001</v>
      </c>
      <c r="W158" s="31">
        <v>0.19145000000000001</v>
      </c>
      <c r="X158" s="31">
        <v>61.729469999999999</v>
      </c>
    </row>
    <row r="159" spans="1:24" x14ac:dyDescent="0.25">
      <c r="A159">
        <v>187</v>
      </c>
      <c r="B159"/>
      <c r="C159">
        <v>2352</v>
      </c>
      <c r="D159">
        <v>293</v>
      </c>
      <c r="E159"/>
      <c r="F159"/>
      <c r="G159">
        <v>54</v>
      </c>
      <c r="H159"/>
      <c r="I159">
        <v>2886</v>
      </c>
      <c r="J159">
        <v>3</v>
      </c>
      <c r="K159">
        <v>1737</v>
      </c>
      <c r="L159">
        <v>1146</v>
      </c>
      <c r="M159">
        <v>2598</v>
      </c>
      <c r="N159">
        <v>288</v>
      </c>
      <c r="O159" t="s">
        <v>714</v>
      </c>
      <c r="P159" t="s">
        <v>475</v>
      </c>
      <c r="Q159" s="31">
        <v>6270</v>
      </c>
      <c r="R159" s="31" t="s">
        <v>475</v>
      </c>
      <c r="S159" s="31" t="s">
        <v>714</v>
      </c>
      <c r="T159" s="31">
        <v>3.3300000000000001E-3</v>
      </c>
      <c r="U159" s="31">
        <v>4.4830000000000002E-2</v>
      </c>
      <c r="V159" s="31">
        <v>0.37558999999999998</v>
      </c>
      <c r="W159" s="31">
        <v>0.20855000000000001</v>
      </c>
      <c r="X159" s="31">
        <v>55.948259999999998</v>
      </c>
    </row>
    <row r="160" spans="1:24" x14ac:dyDescent="0.25">
      <c r="A160">
        <v>558</v>
      </c>
      <c r="B160"/>
      <c r="C160">
        <v>5495</v>
      </c>
      <c r="D160">
        <v>1605</v>
      </c>
      <c r="E160"/>
      <c r="F160"/>
      <c r="G160">
        <v>115</v>
      </c>
      <c r="H160">
        <v>39</v>
      </c>
      <c r="I160">
        <v>7812</v>
      </c>
      <c r="J160">
        <v>15</v>
      </c>
      <c r="K160">
        <v>5509</v>
      </c>
      <c r="L160">
        <v>2276</v>
      </c>
      <c r="M160">
        <v>6104</v>
      </c>
      <c r="N160">
        <v>1697</v>
      </c>
      <c r="O160" t="s">
        <v>754</v>
      </c>
      <c r="P160" t="s">
        <v>320</v>
      </c>
      <c r="Q160" s="31">
        <v>17175</v>
      </c>
      <c r="R160" s="31" t="s">
        <v>320</v>
      </c>
      <c r="S160" s="31" t="s">
        <v>754</v>
      </c>
      <c r="T160" s="31">
        <v>3.1800000000000001E-3</v>
      </c>
      <c r="U160" s="31">
        <v>9.2770000000000005E-2</v>
      </c>
      <c r="V160" s="31">
        <v>0.30893999999999999</v>
      </c>
      <c r="W160" s="31">
        <v>0.20855000000000001</v>
      </c>
      <c r="X160" s="31">
        <v>57.897069999999999</v>
      </c>
    </row>
    <row r="161" spans="1:24" x14ac:dyDescent="0.25">
      <c r="A161">
        <v>364</v>
      </c>
      <c r="B161"/>
      <c r="C161">
        <v>3163</v>
      </c>
      <c r="D161">
        <v>519</v>
      </c>
      <c r="E161"/>
      <c r="F161"/>
      <c r="G161">
        <v>32</v>
      </c>
      <c r="H161"/>
      <c r="I161">
        <v>4078</v>
      </c>
      <c r="J161">
        <v>6</v>
      </c>
      <c r="K161">
        <v>2622</v>
      </c>
      <c r="L161">
        <v>1451</v>
      </c>
      <c r="M161">
        <v>3451</v>
      </c>
      <c r="N161">
        <v>627</v>
      </c>
      <c r="O161" t="s">
        <v>890</v>
      </c>
      <c r="P161" t="s">
        <v>301</v>
      </c>
      <c r="Q161" s="31">
        <v>9130</v>
      </c>
      <c r="R161" s="31" t="s">
        <v>301</v>
      </c>
      <c r="S161" s="31" t="s">
        <v>890</v>
      </c>
      <c r="T161" s="31">
        <v>3.2299999999999998E-3</v>
      </c>
      <c r="U161" s="31">
        <v>6.1740000000000003E-2</v>
      </c>
      <c r="V161" s="31">
        <v>0.32633000000000001</v>
      </c>
      <c r="W161" s="31">
        <v>0.19813</v>
      </c>
      <c r="X161" s="31">
        <v>59.582079999999998</v>
      </c>
    </row>
    <row r="162" spans="1:24" x14ac:dyDescent="0.25">
      <c r="A162">
        <v>264</v>
      </c>
      <c r="B162"/>
      <c r="C162">
        <v>3024</v>
      </c>
      <c r="D162">
        <v>1160</v>
      </c>
      <c r="E162"/>
      <c r="F162"/>
      <c r="G162">
        <v>196</v>
      </c>
      <c r="H162">
        <v>72</v>
      </c>
      <c r="I162">
        <v>4716</v>
      </c>
      <c r="J162">
        <v>44</v>
      </c>
      <c r="K162">
        <v>3480</v>
      </c>
      <c r="L162">
        <v>1185</v>
      </c>
      <c r="M162">
        <v>4049</v>
      </c>
      <c r="N162">
        <v>659</v>
      </c>
      <c r="O162" t="s">
        <v>559</v>
      </c>
      <c r="P162" t="s">
        <v>347</v>
      </c>
      <c r="Q162" s="31">
        <v>11345</v>
      </c>
      <c r="R162" s="31" t="s">
        <v>347</v>
      </c>
      <c r="S162" s="31" t="s">
        <v>559</v>
      </c>
      <c r="T162" s="31">
        <v>3.0100000000000001E-3</v>
      </c>
      <c r="U162" s="31">
        <v>0.11037</v>
      </c>
      <c r="V162" s="31">
        <v>0.26179999999999998</v>
      </c>
      <c r="W162" s="31">
        <v>0.19503999999999999</v>
      </c>
      <c r="X162" s="31">
        <v>59.127400000000002</v>
      </c>
    </row>
    <row r="163" spans="1:24" x14ac:dyDescent="0.25">
      <c r="A163">
        <v>885</v>
      </c>
      <c r="B163"/>
      <c r="C163">
        <v>3468</v>
      </c>
      <c r="D163">
        <v>1455</v>
      </c>
      <c r="E163"/>
      <c r="F163"/>
      <c r="G163">
        <v>92</v>
      </c>
      <c r="H163"/>
      <c r="I163">
        <v>5900</v>
      </c>
      <c r="J163">
        <v>1</v>
      </c>
      <c r="K163">
        <v>3259</v>
      </c>
      <c r="L163">
        <v>2635</v>
      </c>
      <c r="M163">
        <v>3773</v>
      </c>
      <c r="N163">
        <v>2122</v>
      </c>
      <c r="O163" t="s">
        <v>717</v>
      </c>
      <c r="P163" t="s">
        <v>478</v>
      </c>
      <c r="Q163" s="31">
        <v>13255</v>
      </c>
      <c r="R163" s="31" t="s">
        <v>478</v>
      </c>
      <c r="S163" s="31" t="s">
        <v>717</v>
      </c>
      <c r="T163" s="31">
        <v>2.5699999999999998E-3</v>
      </c>
      <c r="U163" s="31">
        <v>0.10689</v>
      </c>
      <c r="V163" s="31">
        <v>0.24309</v>
      </c>
      <c r="W163" s="31">
        <v>0.20258999999999999</v>
      </c>
      <c r="X163" s="31">
        <v>51.261159999999997</v>
      </c>
    </row>
    <row r="164" spans="1:24" x14ac:dyDescent="0.25">
      <c r="A164">
        <v>4088</v>
      </c>
      <c r="B164"/>
      <c r="C164">
        <v>22616</v>
      </c>
      <c r="D164">
        <v>8629</v>
      </c>
      <c r="E164"/>
      <c r="F164"/>
      <c r="G164">
        <v>274</v>
      </c>
      <c r="H164">
        <v>309</v>
      </c>
      <c r="I164">
        <v>35916</v>
      </c>
      <c r="J164">
        <v>112</v>
      </c>
      <c r="K164">
        <v>20469</v>
      </c>
      <c r="L164">
        <v>15317</v>
      </c>
      <c r="M164">
        <v>24456</v>
      </c>
      <c r="N164">
        <v>11442</v>
      </c>
      <c r="O164" t="s">
        <v>545</v>
      </c>
      <c r="P164" t="s">
        <v>357</v>
      </c>
      <c r="Q164" s="31">
        <v>79510</v>
      </c>
      <c r="R164" s="31" t="s">
        <v>357</v>
      </c>
      <c r="S164" s="31" t="s">
        <v>545</v>
      </c>
      <c r="T164" s="31">
        <v>2.7299999999999998E-3</v>
      </c>
      <c r="U164" s="31">
        <v>0.11056000000000001</v>
      </c>
      <c r="V164" s="31">
        <v>0.18118999999999999</v>
      </c>
      <c r="W164" s="31">
        <v>0.18440999999999999</v>
      </c>
      <c r="X164" s="31">
        <v>77.390569999999997</v>
      </c>
    </row>
    <row r="165" spans="1:24" x14ac:dyDescent="0.25">
      <c r="A165">
        <v>1677</v>
      </c>
      <c r="B165"/>
      <c r="C165">
        <v>13217</v>
      </c>
      <c r="D165">
        <v>5451</v>
      </c>
      <c r="E165"/>
      <c r="F165"/>
      <c r="G165">
        <v>3136</v>
      </c>
      <c r="H165">
        <v>43</v>
      </c>
      <c r="I165">
        <v>23524</v>
      </c>
      <c r="J165">
        <v>176</v>
      </c>
      <c r="K165">
        <v>15732</v>
      </c>
      <c r="L165">
        <v>7587</v>
      </c>
      <c r="M165">
        <v>20193</v>
      </c>
      <c r="N165">
        <v>3301</v>
      </c>
      <c r="O165" t="s">
        <v>635</v>
      </c>
      <c r="P165" t="s">
        <v>432</v>
      </c>
      <c r="Q165" s="31">
        <v>45905</v>
      </c>
      <c r="R165" s="31" t="s">
        <v>432</v>
      </c>
      <c r="S165" s="31" t="s">
        <v>635</v>
      </c>
      <c r="T165" s="31">
        <v>3.13E-3</v>
      </c>
      <c r="U165" s="31">
        <v>0.12019000000000001</v>
      </c>
      <c r="V165" s="31">
        <v>0.22459999999999999</v>
      </c>
      <c r="W165" s="31">
        <v>0.21961</v>
      </c>
      <c r="X165" s="31">
        <v>65.316800000000001</v>
      </c>
    </row>
    <row r="166" spans="1:24" x14ac:dyDescent="0.25">
      <c r="A166">
        <v>1137</v>
      </c>
      <c r="B166"/>
      <c r="C166">
        <v>3713</v>
      </c>
      <c r="D166">
        <v>1855</v>
      </c>
      <c r="E166"/>
      <c r="F166"/>
      <c r="G166">
        <v>3525</v>
      </c>
      <c r="H166"/>
      <c r="I166">
        <v>10230</v>
      </c>
      <c r="J166">
        <v>162</v>
      </c>
      <c r="K166">
        <v>7254</v>
      </c>
      <c r="L166">
        <v>2814</v>
      </c>
      <c r="M166">
        <v>8561</v>
      </c>
      <c r="N166">
        <v>1669</v>
      </c>
      <c r="O166" t="s">
        <v>875</v>
      </c>
      <c r="P166" t="s">
        <v>495</v>
      </c>
      <c r="Q166" s="31">
        <v>13530</v>
      </c>
      <c r="R166" s="31" t="s">
        <v>495</v>
      </c>
      <c r="S166" s="31" t="s">
        <v>875</v>
      </c>
      <c r="T166" s="31">
        <v>3.0699999999999998E-3</v>
      </c>
      <c r="U166" s="31">
        <v>0.14369999999999999</v>
      </c>
      <c r="V166" s="31">
        <v>0.2</v>
      </c>
      <c r="W166" s="31">
        <v>0.22778999999999999</v>
      </c>
      <c r="X166" s="31">
        <v>70.979050000000001</v>
      </c>
    </row>
    <row r="167" spans="1:24" x14ac:dyDescent="0.25">
      <c r="A167">
        <v>607</v>
      </c>
      <c r="B167"/>
      <c r="C167">
        <v>4212</v>
      </c>
      <c r="D167">
        <v>716</v>
      </c>
      <c r="E167"/>
      <c r="F167"/>
      <c r="G167">
        <v>59</v>
      </c>
      <c r="H167"/>
      <c r="I167">
        <v>5594</v>
      </c>
      <c r="J167">
        <v>47</v>
      </c>
      <c r="K167">
        <v>3749</v>
      </c>
      <c r="L167">
        <v>1799</v>
      </c>
      <c r="M167">
        <v>4529</v>
      </c>
      <c r="N167">
        <v>1065</v>
      </c>
      <c r="O167" t="s">
        <v>644</v>
      </c>
      <c r="P167" t="s">
        <v>230</v>
      </c>
      <c r="Q167" s="31">
        <v>13230</v>
      </c>
      <c r="R167" s="31" t="s">
        <v>230</v>
      </c>
      <c r="S167" s="31" t="s">
        <v>644</v>
      </c>
      <c r="T167" s="31">
        <v>2.33E-3</v>
      </c>
      <c r="U167" s="31">
        <v>5.8459999999999998E-2</v>
      </c>
      <c r="V167" s="31">
        <v>0.31248999999999999</v>
      </c>
      <c r="W167" s="31">
        <v>0.16272</v>
      </c>
      <c r="X167" s="31">
        <v>43.841140000000003</v>
      </c>
    </row>
    <row r="168" spans="1:24" x14ac:dyDescent="0.25">
      <c r="A168">
        <v>1064</v>
      </c>
      <c r="B168"/>
      <c r="C168">
        <v>7621</v>
      </c>
      <c r="D168">
        <v>3878</v>
      </c>
      <c r="E168"/>
      <c r="F168"/>
      <c r="G168">
        <v>200</v>
      </c>
      <c r="H168">
        <v>160</v>
      </c>
      <c r="I168">
        <v>12923</v>
      </c>
      <c r="J168">
        <v>2</v>
      </c>
      <c r="K168">
        <v>7400</v>
      </c>
      <c r="L168">
        <v>5521</v>
      </c>
      <c r="M168">
        <v>8934</v>
      </c>
      <c r="N168">
        <v>3989</v>
      </c>
      <c r="O168" t="s">
        <v>728</v>
      </c>
      <c r="P168" t="s">
        <v>156</v>
      </c>
      <c r="Q168" s="31">
        <v>28405</v>
      </c>
      <c r="R168" s="31" t="s">
        <v>156</v>
      </c>
      <c r="S168" s="31" t="s">
        <v>728</v>
      </c>
      <c r="T168" s="31">
        <v>2.99E-3</v>
      </c>
      <c r="U168" s="31">
        <v>0.13636999999999999</v>
      </c>
      <c r="V168" s="31">
        <v>0.24726000000000001</v>
      </c>
      <c r="W168" s="31">
        <v>0.18007999999999999</v>
      </c>
      <c r="X168" s="31">
        <v>59.171970000000002</v>
      </c>
    </row>
    <row r="169" spans="1:24" x14ac:dyDescent="0.25">
      <c r="A169">
        <v>6375</v>
      </c>
      <c r="B169"/>
      <c r="C169">
        <v>17850</v>
      </c>
      <c r="D169">
        <v>6249</v>
      </c>
      <c r="E169"/>
      <c r="F169"/>
      <c r="G169">
        <v>677</v>
      </c>
      <c r="H169">
        <v>166</v>
      </c>
      <c r="I169">
        <v>31317</v>
      </c>
      <c r="J169">
        <v>45</v>
      </c>
      <c r="K169">
        <v>16562</v>
      </c>
      <c r="L169">
        <v>14687</v>
      </c>
      <c r="M169">
        <v>19372</v>
      </c>
      <c r="N169">
        <v>11922</v>
      </c>
      <c r="O169" t="s">
        <v>567</v>
      </c>
      <c r="P169" t="s">
        <v>158</v>
      </c>
      <c r="Q169" s="31">
        <v>67095</v>
      </c>
      <c r="R169" s="31" t="s">
        <v>158</v>
      </c>
      <c r="S169" s="31" t="s">
        <v>567</v>
      </c>
      <c r="T169" s="31">
        <v>2.8600000000000001E-3</v>
      </c>
      <c r="U169" s="31">
        <v>9.7519999999999996E-2</v>
      </c>
      <c r="V169" s="31">
        <v>0.18329000000000001</v>
      </c>
      <c r="W169" s="31">
        <v>0.19388</v>
      </c>
      <c r="X169" s="31">
        <v>73.707579999999993</v>
      </c>
    </row>
    <row r="170" spans="1:24" x14ac:dyDescent="0.25">
      <c r="A170">
        <v>1911</v>
      </c>
      <c r="B170"/>
      <c r="C170">
        <v>4270</v>
      </c>
      <c r="D170">
        <v>2609</v>
      </c>
      <c r="E170"/>
      <c r="F170"/>
      <c r="G170">
        <v>174</v>
      </c>
      <c r="H170">
        <v>33</v>
      </c>
      <c r="I170">
        <v>8997</v>
      </c>
      <c r="J170">
        <v>112</v>
      </c>
      <c r="K170">
        <v>4743</v>
      </c>
      <c r="L170">
        <v>4142</v>
      </c>
      <c r="M170">
        <v>4507</v>
      </c>
      <c r="N170">
        <v>4490</v>
      </c>
      <c r="O170" t="s">
        <v>718</v>
      </c>
      <c r="P170" t="s">
        <v>479</v>
      </c>
      <c r="Q170" s="31">
        <v>18260</v>
      </c>
      <c r="R170" s="31" t="s">
        <v>479</v>
      </c>
      <c r="S170" s="31" t="s">
        <v>718</v>
      </c>
      <c r="T170" s="31">
        <v>2.6900000000000001E-3</v>
      </c>
      <c r="U170" s="31">
        <v>0.13689000000000001</v>
      </c>
      <c r="V170" s="31">
        <v>0.17626</v>
      </c>
      <c r="W170" s="31">
        <v>0.19314000000000001</v>
      </c>
      <c r="X170" s="31">
        <v>63.325830000000003</v>
      </c>
    </row>
    <row r="171" spans="1:24" x14ac:dyDescent="0.25">
      <c r="A171">
        <v>1550</v>
      </c>
      <c r="B171"/>
      <c r="C171">
        <v>3790</v>
      </c>
      <c r="D171">
        <v>4062</v>
      </c>
      <c r="E171"/>
      <c r="F171"/>
      <c r="G171">
        <v>729</v>
      </c>
      <c r="H171">
        <v>234</v>
      </c>
      <c r="I171">
        <v>10365</v>
      </c>
      <c r="J171">
        <v>58</v>
      </c>
      <c r="K171">
        <v>5511</v>
      </c>
      <c r="L171">
        <v>4796</v>
      </c>
      <c r="M171">
        <v>4979</v>
      </c>
      <c r="N171">
        <v>5386</v>
      </c>
      <c r="O171" t="s">
        <v>804</v>
      </c>
      <c r="P171" t="s">
        <v>384</v>
      </c>
      <c r="Q171" s="31">
        <v>16555</v>
      </c>
      <c r="R171" s="31" t="s">
        <v>384</v>
      </c>
      <c r="S171" s="31" t="s">
        <v>804</v>
      </c>
      <c r="T171" s="31">
        <v>3.4499999999999999E-3</v>
      </c>
      <c r="U171" s="31">
        <v>0.24606</v>
      </c>
      <c r="V171" s="31">
        <v>0.12817999999999999</v>
      </c>
      <c r="W171" s="31">
        <v>0.25744</v>
      </c>
      <c r="X171" s="31">
        <v>93.981160000000003</v>
      </c>
    </row>
    <row r="172" spans="1:24" x14ac:dyDescent="0.25">
      <c r="A172">
        <v>76</v>
      </c>
      <c r="B172"/>
      <c r="C172">
        <v>1960</v>
      </c>
      <c r="D172">
        <v>447</v>
      </c>
      <c r="E172"/>
      <c r="F172"/>
      <c r="G172">
        <v>106</v>
      </c>
      <c r="H172"/>
      <c r="I172">
        <v>2589</v>
      </c>
      <c r="J172">
        <v>3</v>
      </c>
      <c r="K172">
        <v>2034</v>
      </c>
      <c r="L172">
        <v>552</v>
      </c>
      <c r="M172">
        <v>2420</v>
      </c>
      <c r="N172">
        <v>169</v>
      </c>
      <c r="O172" t="s">
        <v>618</v>
      </c>
      <c r="P172" t="s">
        <v>211</v>
      </c>
      <c r="Q172" s="31">
        <v>6325</v>
      </c>
      <c r="R172" s="31" t="s">
        <v>211</v>
      </c>
      <c r="S172" s="31" t="s">
        <v>618</v>
      </c>
      <c r="T172" s="31">
        <v>3.2499999999999999E-3</v>
      </c>
      <c r="U172" s="31">
        <v>7.1050000000000002E-2</v>
      </c>
      <c r="V172" s="31">
        <v>0.36185</v>
      </c>
      <c r="W172" s="31">
        <v>0.18984999999999999</v>
      </c>
      <c r="X172" s="31">
        <v>53.448680000000003</v>
      </c>
    </row>
    <row r="173" spans="1:24" x14ac:dyDescent="0.25">
      <c r="A173">
        <v>9874</v>
      </c>
      <c r="B173"/>
      <c r="C173">
        <v>40121</v>
      </c>
      <c r="D173">
        <v>17804</v>
      </c>
      <c r="E173"/>
      <c r="F173"/>
      <c r="G173">
        <v>966</v>
      </c>
      <c r="H173">
        <v>599</v>
      </c>
      <c r="I173">
        <v>69364</v>
      </c>
      <c r="J173">
        <v>308</v>
      </c>
      <c r="K173">
        <v>34156</v>
      </c>
      <c r="L173">
        <v>34893</v>
      </c>
      <c r="M173">
        <v>43639</v>
      </c>
      <c r="N173">
        <v>25718</v>
      </c>
      <c r="O173" t="s">
        <v>560</v>
      </c>
      <c r="P173" t="s">
        <v>348</v>
      </c>
      <c r="Q173" s="31">
        <v>150505</v>
      </c>
      <c r="R173" s="31" t="s">
        <v>348</v>
      </c>
      <c r="S173" s="31" t="s">
        <v>560</v>
      </c>
      <c r="T173" s="31">
        <v>2.5600000000000002E-3</v>
      </c>
      <c r="U173" s="31">
        <v>0.11908000000000001</v>
      </c>
      <c r="V173" s="31">
        <v>0.17923</v>
      </c>
      <c r="W173" s="31">
        <v>0.17549000000000001</v>
      </c>
      <c r="X173" s="31">
        <v>68.689179999999993</v>
      </c>
    </row>
    <row r="174" spans="1:24" x14ac:dyDescent="0.25">
      <c r="A174">
        <v>983</v>
      </c>
      <c r="B174"/>
      <c r="C174">
        <v>5283</v>
      </c>
      <c r="D174">
        <v>1851</v>
      </c>
      <c r="E174"/>
      <c r="F174"/>
      <c r="G174">
        <v>87</v>
      </c>
      <c r="H174">
        <v>203</v>
      </c>
      <c r="I174">
        <v>8407</v>
      </c>
      <c r="J174">
        <v>19</v>
      </c>
      <c r="K174">
        <v>4791</v>
      </c>
      <c r="L174">
        <v>3532</v>
      </c>
      <c r="M174">
        <v>5588</v>
      </c>
      <c r="N174">
        <v>2756</v>
      </c>
      <c r="O174" t="s">
        <v>711</v>
      </c>
      <c r="P174" t="s">
        <v>361</v>
      </c>
      <c r="Q174" s="31">
        <v>19750</v>
      </c>
      <c r="R174" s="31" t="s">
        <v>361</v>
      </c>
      <c r="S174" s="31" t="s">
        <v>711</v>
      </c>
      <c r="T174" s="31">
        <v>3.1199999999999999E-3</v>
      </c>
      <c r="U174" s="31">
        <v>9.1670000000000001E-2</v>
      </c>
      <c r="V174" s="31">
        <v>0.22527</v>
      </c>
      <c r="W174" s="31">
        <v>0.19248000000000001</v>
      </c>
      <c r="X174" s="31">
        <v>72.338070000000002</v>
      </c>
    </row>
    <row r="175" spans="1:24" x14ac:dyDescent="0.25">
      <c r="A175">
        <v>5085</v>
      </c>
      <c r="B175"/>
      <c r="C175">
        <v>28024</v>
      </c>
      <c r="D175">
        <v>12265</v>
      </c>
      <c r="E175"/>
      <c r="F175"/>
      <c r="G175">
        <v>1151</v>
      </c>
      <c r="H175">
        <v>983</v>
      </c>
      <c r="I175">
        <v>47508</v>
      </c>
      <c r="J175">
        <v>99</v>
      </c>
      <c r="K175">
        <v>29412</v>
      </c>
      <c r="L175">
        <v>17919</v>
      </c>
      <c r="M175">
        <v>31682</v>
      </c>
      <c r="N175">
        <v>15748</v>
      </c>
      <c r="O175" t="s">
        <v>851</v>
      </c>
      <c r="P175" t="s">
        <v>426</v>
      </c>
      <c r="Q175" s="31">
        <v>106590</v>
      </c>
      <c r="R175" s="31" t="s">
        <v>426</v>
      </c>
      <c r="S175" s="31" t="s">
        <v>851</v>
      </c>
      <c r="T175" s="31">
        <v>2.5200000000000001E-3</v>
      </c>
      <c r="U175" s="31">
        <v>0.11557000000000001</v>
      </c>
      <c r="V175" s="31">
        <v>0.20111000000000001</v>
      </c>
      <c r="W175" s="31">
        <v>0.17549999999999999</v>
      </c>
      <c r="X175" s="31">
        <v>61.545729999999999</v>
      </c>
    </row>
    <row r="176" spans="1:24" x14ac:dyDescent="0.25">
      <c r="A176">
        <v>1169</v>
      </c>
      <c r="B176"/>
      <c r="C176">
        <v>12487</v>
      </c>
      <c r="D176">
        <v>5896</v>
      </c>
      <c r="E176"/>
      <c r="F176"/>
      <c r="G176">
        <v>191</v>
      </c>
      <c r="H176">
        <v>437</v>
      </c>
      <c r="I176">
        <v>20180</v>
      </c>
      <c r="J176">
        <v>0</v>
      </c>
      <c r="K176">
        <v>12913</v>
      </c>
      <c r="L176">
        <v>7216</v>
      </c>
      <c r="M176">
        <v>14852</v>
      </c>
      <c r="N176">
        <v>5277</v>
      </c>
      <c r="O176" t="s">
        <v>774</v>
      </c>
      <c r="P176" t="s">
        <v>340</v>
      </c>
      <c r="Q176" s="31">
        <v>47390</v>
      </c>
      <c r="R176" s="31" t="s">
        <v>340</v>
      </c>
      <c r="S176" s="31" t="s">
        <v>774</v>
      </c>
      <c r="T176" s="31">
        <v>2.15E-3</v>
      </c>
      <c r="U176" s="31">
        <v>0.12229</v>
      </c>
      <c r="V176" s="31">
        <v>0.25727</v>
      </c>
      <c r="W176" s="31">
        <v>0.15647</v>
      </c>
      <c r="X176" s="31">
        <v>42.616480000000003</v>
      </c>
    </row>
    <row r="177" spans="1:24" x14ac:dyDescent="0.25">
      <c r="A177">
        <v>431</v>
      </c>
      <c r="B177"/>
      <c r="C177">
        <v>5587</v>
      </c>
      <c r="D177">
        <v>1911</v>
      </c>
      <c r="E177"/>
      <c r="F177"/>
      <c r="G177">
        <v>392</v>
      </c>
      <c r="H177"/>
      <c r="I177">
        <v>8321</v>
      </c>
      <c r="J177">
        <v>68</v>
      </c>
      <c r="K177">
        <v>6173</v>
      </c>
      <c r="L177">
        <v>2081</v>
      </c>
      <c r="M177">
        <v>7428</v>
      </c>
      <c r="N177">
        <v>893</v>
      </c>
      <c r="O177" t="s">
        <v>811</v>
      </c>
      <c r="P177" t="s">
        <v>170</v>
      </c>
      <c r="Q177" s="31">
        <v>19210</v>
      </c>
      <c r="R177" s="31" t="s">
        <v>170</v>
      </c>
      <c r="S177" s="31" t="s">
        <v>811</v>
      </c>
      <c r="T177" s="31">
        <v>2.9399999999999999E-3</v>
      </c>
      <c r="U177" s="31">
        <v>9.8290000000000002E-2</v>
      </c>
      <c r="V177" s="31">
        <v>0.30595</v>
      </c>
      <c r="W177" s="31">
        <v>0.19474</v>
      </c>
      <c r="X177" s="31">
        <v>51.935499999999998</v>
      </c>
    </row>
    <row r="178" spans="1:24" x14ac:dyDescent="0.25">
      <c r="A178">
        <v>637</v>
      </c>
      <c r="B178"/>
      <c r="C178">
        <v>5699</v>
      </c>
      <c r="D178">
        <v>1601</v>
      </c>
      <c r="E178"/>
      <c r="F178"/>
      <c r="G178">
        <v>228</v>
      </c>
      <c r="H178">
        <v>182</v>
      </c>
      <c r="I178">
        <v>8347</v>
      </c>
      <c r="J178">
        <v>35</v>
      </c>
      <c r="K178">
        <v>5140</v>
      </c>
      <c r="L178">
        <v>3159</v>
      </c>
      <c r="M178">
        <v>6475</v>
      </c>
      <c r="N178">
        <v>1859</v>
      </c>
      <c r="O178" t="s">
        <v>685</v>
      </c>
      <c r="P178" t="s">
        <v>267</v>
      </c>
      <c r="Q178" s="31">
        <v>16280</v>
      </c>
      <c r="R178" s="31" t="s">
        <v>267</v>
      </c>
      <c r="S178" s="31" t="s">
        <v>685</v>
      </c>
      <c r="T178" s="31">
        <v>3.15E-3</v>
      </c>
      <c r="U178" s="31">
        <v>0.10707999999999999</v>
      </c>
      <c r="V178" s="31">
        <v>0.27859</v>
      </c>
      <c r="W178" s="31">
        <v>0.2122</v>
      </c>
      <c r="X178" s="31">
        <v>62.128819999999997</v>
      </c>
    </row>
    <row r="179" spans="1:24" x14ac:dyDescent="0.25">
      <c r="A179">
        <v>4908</v>
      </c>
      <c r="B179"/>
      <c r="C179">
        <v>13824</v>
      </c>
      <c r="D179">
        <v>13827</v>
      </c>
      <c r="E179"/>
      <c r="F179"/>
      <c r="G179">
        <v>95</v>
      </c>
      <c r="H179">
        <v>425</v>
      </c>
      <c r="I179">
        <v>33079</v>
      </c>
      <c r="J179">
        <v>71</v>
      </c>
      <c r="K179">
        <v>16392</v>
      </c>
      <c r="L179">
        <v>16553</v>
      </c>
      <c r="M179">
        <v>15170</v>
      </c>
      <c r="N179">
        <v>17846</v>
      </c>
      <c r="O179" t="s">
        <v>882</v>
      </c>
      <c r="P179" t="s">
        <v>293</v>
      </c>
      <c r="Q179" s="31">
        <v>67740</v>
      </c>
      <c r="R179" s="31" t="s">
        <v>293</v>
      </c>
      <c r="S179" s="31" t="s">
        <v>882</v>
      </c>
      <c r="T179" s="31">
        <v>2.5500000000000002E-3</v>
      </c>
      <c r="U179" s="31">
        <v>0.20387</v>
      </c>
      <c r="V179" s="31">
        <v>0.14213000000000001</v>
      </c>
      <c r="W179" s="31">
        <v>0.18348</v>
      </c>
      <c r="X179" s="31">
        <v>68.278760000000005</v>
      </c>
    </row>
    <row r="180" spans="1:24" x14ac:dyDescent="0.25">
      <c r="A180">
        <v>11206</v>
      </c>
      <c r="B180"/>
      <c r="C180">
        <v>16253</v>
      </c>
      <c r="D180">
        <v>21230</v>
      </c>
      <c r="E180"/>
      <c r="F180"/>
      <c r="G180">
        <v>859</v>
      </c>
      <c r="H180">
        <v>804</v>
      </c>
      <c r="I180">
        <v>50352</v>
      </c>
      <c r="J180">
        <v>99</v>
      </c>
      <c r="K180">
        <v>19110</v>
      </c>
      <c r="L180">
        <v>31052</v>
      </c>
      <c r="M180">
        <v>16845</v>
      </c>
      <c r="N180">
        <v>33416</v>
      </c>
      <c r="O180" t="s">
        <v>605</v>
      </c>
      <c r="P180" t="s">
        <v>201</v>
      </c>
      <c r="Q180" s="31">
        <v>99855</v>
      </c>
      <c r="R180" s="31" t="s">
        <v>201</v>
      </c>
      <c r="S180" s="31" t="s">
        <v>605</v>
      </c>
      <c r="T180" s="31">
        <v>2.1099999999999999E-3</v>
      </c>
      <c r="U180" s="31">
        <v>0.21503</v>
      </c>
      <c r="V180" s="31">
        <v>0.11126</v>
      </c>
      <c r="W180" s="31">
        <v>0.15101000000000001</v>
      </c>
      <c r="X180" s="31">
        <v>59.765030000000003</v>
      </c>
    </row>
    <row r="181" spans="1:24" x14ac:dyDescent="0.25">
      <c r="A181">
        <v>10156</v>
      </c>
      <c r="B181"/>
      <c r="C181">
        <v>29089</v>
      </c>
      <c r="D181">
        <v>15284</v>
      </c>
      <c r="E181"/>
      <c r="F181"/>
      <c r="G181">
        <v>899</v>
      </c>
      <c r="H181">
        <v>390</v>
      </c>
      <c r="I181">
        <v>55818</v>
      </c>
      <c r="J181">
        <v>82</v>
      </c>
      <c r="K181">
        <v>31150</v>
      </c>
      <c r="L181">
        <v>24439</v>
      </c>
      <c r="M181">
        <v>30883</v>
      </c>
      <c r="N181">
        <v>24788</v>
      </c>
      <c r="O181" t="s">
        <v>924</v>
      </c>
      <c r="P181" t="s">
        <v>518</v>
      </c>
      <c r="Q181" s="31">
        <v>118430</v>
      </c>
      <c r="R181" s="31" t="s">
        <v>518</v>
      </c>
      <c r="S181" s="31" t="s">
        <v>924</v>
      </c>
      <c r="T181" s="31">
        <v>2.5699999999999998E-3</v>
      </c>
      <c r="U181" s="31">
        <v>0.12801000000000001</v>
      </c>
      <c r="V181" s="31">
        <v>0.14871000000000001</v>
      </c>
      <c r="W181" s="31">
        <v>0.17907999999999999</v>
      </c>
      <c r="X181" s="31">
        <v>76.845489999999998</v>
      </c>
    </row>
    <row r="182" spans="1:24" x14ac:dyDescent="0.25">
      <c r="A182">
        <v>2508</v>
      </c>
      <c r="B182"/>
      <c r="C182">
        <v>8440</v>
      </c>
      <c r="D182">
        <v>5165</v>
      </c>
      <c r="E182"/>
      <c r="F182"/>
      <c r="G182">
        <v>409</v>
      </c>
      <c r="H182">
        <v>41</v>
      </c>
      <c r="I182">
        <v>16563</v>
      </c>
      <c r="J182">
        <v>66</v>
      </c>
      <c r="K182">
        <v>7533</v>
      </c>
      <c r="L182">
        <v>8887</v>
      </c>
      <c r="M182">
        <v>9210</v>
      </c>
      <c r="N182">
        <v>7276</v>
      </c>
      <c r="O182" t="s">
        <v>751</v>
      </c>
      <c r="P182" t="s">
        <v>317</v>
      </c>
      <c r="Q182" s="31">
        <v>35205</v>
      </c>
      <c r="R182" s="31" t="s">
        <v>317</v>
      </c>
      <c r="S182" s="31" t="s">
        <v>751</v>
      </c>
      <c r="T182" s="31">
        <v>2.63E-3</v>
      </c>
      <c r="U182" s="31">
        <v>0.14918000000000001</v>
      </c>
      <c r="V182" s="31">
        <v>0.15193000000000001</v>
      </c>
      <c r="W182" s="31">
        <v>0.17765</v>
      </c>
      <c r="X182" s="31">
        <v>75.406400000000005</v>
      </c>
    </row>
    <row r="183" spans="1:24" x14ac:dyDescent="0.25">
      <c r="A183">
        <v>4785</v>
      </c>
      <c r="B183"/>
      <c r="C183">
        <v>18112</v>
      </c>
      <c r="D183">
        <v>9927</v>
      </c>
      <c r="E183"/>
      <c r="F183"/>
      <c r="G183">
        <v>906</v>
      </c>
      <c r="H183">
        <v>295</v>
      </c>
      <c r="I183">
        <v>34025</v>
      </c>
      <c r="J183">
        <v>214</v>
      </c>
      <c r="K183">
        <v>18239</v>
      </c>
      <c r="L183">
        <v>15550</v>
      </c>
      <c r="M183">
        <v>19917</v>
      </c>
      <c r="N183">
        <v>14086</v>
      </c>
      <c r="O183" t="s">
        <v>844</v>
      </c>
      <c r="P183" t="s">
        <v>411</v>
      </c>
      <c r="Q183" s="31">
        <v>70520</v>
      </c>
      <c r="R183" s="31" t="s">
        <v>411</v>
      </c>
      <c r="S183" s="31" t="s">
        <v>844</v>
      </c>
      <c r="T183" s="31">
        <v>2.5000000000000001E-3</v>
      </c>
      <c r="U183" s="31">
        <v>0.1389</v>
      </c>
      <c r="V183" s="31">
        <v>0.16703000000000001</v>
      </c>
      <c r="W183" s="31">
        <v>0.17782000000000001</v>
      </c>
      <c r="X183" s="31">
        <v>67.666679999999999</v>
      </c>
    </row>
    <row r="184" spans="1:24" x14ac:dyDescent="0.25">
      <c r="A184">
        <v>104951</v>
      </c>
      <c r="B184"/>
      <c r="C184">
        <v>51457</v>
      </c>
      <c r="D184">
        <v>101634</v>
      </c>
      <c r="E184"/>
      <c r="F184"/>
      <c r="G184">
        <v>4148</v>
      </c>
      <c r="H184">
        <v>3012</v>
      </c>
      <c r="I184">
        <v>265202</v>
      </c>
      <c r="J184">
        <v>4909</v>
      </c>
      <c r="K184">
        <v>112229</v>
      </c>
      <c r="L184">
        <v>147995</v>
      </c>
      <c r="M184">
        <v>55878</v>
      </c>
      <c r="N184">
        <v>209313</v>
      </c>
      <c r="O184" t="s">
        <v>568</v>
      </c>
      <c r="P184" t="s">
        <v>159</v>
      </c>
      <c r="Q184" s="31">
        <v>508730</v>
      </c>
      <c r="R184" s="31" t="s">
        <v>935</v>
      </c>
      <c r="S184" s="31" t="s">
        <v>568</v>
      </c>
      <c r="T184" s="31">
        <v>2.0600000000000002E-3</v>
      </c>
      <c r="U184" s="31">
        <v>0.20202999999999999</v>
      </c>
      <c r="V184" s="31">
        <v>7.9250000000000001E-2</v>
      </c>
      <c r="W184" s="31">
        <v>0.14088999999999999</v>
      </c>
      <c r="X184" s="31">
        <v>60.94294</v>
      </c>
    </row>
    <row r="185" spans="1:24" x14ac:dyDescent="0.25">
      <c r="A185">
        <v>673</v>
      </c>
      <c r="B185"/>
      <c r="C185">
        <v>4886</v>
      </c>
      <c r="D185">
        <v>1594</v>
      </c>
      <c r="E185"/>
      <c r="F185"/>
      <c r="G185">
        <v>110</v>
      </c>
      <c r="H185">
        <v>147</v>
      </c>
      <c r="I185">
        <v>7410</v>
      </c>
      <c r="J185">
        <v>61</v>
      </c>
      <c r="K185">
        <v>4544</v>
      </c>
      <c r="L185">
        <v>2804</v>
      </c>
      <c r="M185">
        <v>5582</v>
      </c>
      <c r="N185">
        <v>1828</v>
      </c>
      <c r="O185" t="s">
        <v>920</v>
      </c>
      <c r="P185" t="s">
        <v>514</v>
      </c>
      <c r="Q185" s="31">
        <v>17750</v>
      </c>
      <c r="R185" s="31" t="s">
        <v>514</v>
      </c>
      <c r="S185" s="31" t="s">
        <v>920</v>
      </c>
      <c r="T185" s="31">
        <v>2.64E-3</v>
      </c>
      <c r="U185" s="31">
        <v>9.572E-2</v>
      </c>
      <c r="V185" s="31">
        <v>0.21371999999999999</v>
      </c>
      <c r="W185" s="31">
        <v>0.18009</v>
      </c>
      <c r="X185" s="31">
        <v>66.090350000000001</v>
      </c>
    </row>
    <row r="186" spans="1:24" x14ac:dyDescent="0.25">
      <c r="A186">
        <v>993</v>
      </c>
      <c r="B186"/>
      <c r="C186">
        <v>11307</v>
      </c>
      <c r="D186">
        <v>4915</v>
      </c>
      <c r="E186"/>
      <c r="F186"/>
      <c r="G186">
        <v>162</v>
      </c>
      <c r="H186">
        <v>75</v>
      </c>
      <c r="I186">
        <v>17452</v>
      </c>
      <c r="J186">
        <v>16</v>
      </c>
      <c r="K186">
        <v>10626</v>
      </c>
      <c r="L186">
        <v>6796</v>
      </c>
      <c r="M186">
        <v>12656</v>
      </c>
      <c r="N186">
        <v>4782</v>
      </c>
      <c r="O186" t="s">
        <v>887</v>
      </c>
      <c r="P186" t="s">
        <v>298</v>
      </c>
      <c r="Q186" s="31">
        <v>38880</v>
      </c>
      <c r="R186" s="31" t="s">
        <v>298</v>
      </c>
      <c r="S186" s="31" t="s">
        <v>887</v>
      </c>
      <c r="T186" s="31">
        <v>2.82E-3</v>
      </c>
      <c r="U186" s="31">
        <v>0.12614</v>
      </c>
      <c r="V186" s="31">
        <v>0.23699000000000001</v>
      </c>
      <c r="W186" s="31">
        <v>0.18955</v>
      </c>
      <c r="X186" s="31">
        <v>62.242100000000001</v>
      </c>
    </row>
    <row r="187" spans="1:24" x14ac:dyDescent="0.25">
      <c r="A187">
        <v>635</v>
      </c>
      <c r="B187"/>
      <c r="C187">
        <v>8437</v>
      </c>
      <c r="D187">
        <v>2642</v>
      </c>
      <c r="E187"/>
      <c r="F187"/>
      <c r="G187">
        <v>37</v>
      </c>
      <c r="H187">
        <v>270</v>
      </c>
      <c r="I187">
        <v>12021</v>
      </c>
      <c r="J187">
        <v>0</v>
      </c>
      <c r="K187">
        <v>8056</v>
      </c>
      <c r="L187">
        <v>3965</v>
      </c>
      <c r="M187">
        <v>9112</v>
      </c>
      <c r="N187">
        <v>2909</v>
      </c>
      <c r="O187" t="s">
        <v>876</v>
      </c>
      <c r="P187" t="s">
        <v>436</v>
      </c>
      <c r="Q187" s="31">
        <v>28880</v>
      </c>
      <c r="R187" s="31" t="s">
        <v>436</v>
      </c>
      <c r="S187" s="31" t="s">
        <v>876</v>
      </c>
      <c r="T187" s="31">
        <v>2.4199999999999998E-3</v>
      </c>
      <c r="U187" s="31">
        <v>9.5320000000000002E-2</v>
      </c>
      <c r="V187" s="31">
        <v>0.26832</v>
      </c>
      <c r="W187" s="31">
        <v>0.16274</v>
      </c>
      <c r="X187" s="31">
        <v>50.669460000000001</v>
      </c>
    </row>
    <row r="188" spans="1:24" x14ac:dyDescent="0.25">
      <c r="A188">
        <v>397</v>
      </c>
      <c r="B188"/>
      <c r="C188">
        <v>7173</v>
      </c>
      <c r="D188">
        <v>1497</v>
      </c>
      <c r="E188"/>
      <c r="F188"/>
      <c r="G188">
        <v>105</v>
      </c>
      <c r="H188">
        <v>94</v>
      </c>
      <c r="I188">
        <v>9266</v>
      </c>
      <c r="J188">
        <v>0</v>
      </c>
      <c r="K188">
        <v>6353</v>
      </c>
      <c r="L188">
        <v>2913</v>
      </c>
      <c r="M188">
        <v>8397</v>
      </c>
      <c r="N188">
        <v>869</v>
      </c>
      <c r="O188" t="s">
        <v>873</v>
      </c>
      <c r="P188" t="s">
        <v>435</v>
      </c>
      <c r="Q188" s="31">
        <v>21470</v>
      </c>
      <c r="R188" s="31" t="s">
        <v>435</v>
      </c>
      <c r="S188" s="31" t="s">
        <v>873</v>
      </c>
      <c r="T188" s="31">
        <v>2.9299999999999999E-3</v>
      </c>
      <c r="U188" s="31">
        <v>7.3300000000000004E-2</v>
      </c>
      <c r="V188" s="31">
        <v>0.28365000000000001</v>
      </c>
      <c r="W188" s="31">
        <v>0.19755</v>
      </c>
      <c r="X188" s="31">
        <v>62.596969999999999</v>
      </c>
    </row>
    <row r="189" spans="1:24" x14ac:dyDescent="0.25">
      <c r="A189">
        <v>897</v>
      </c>
      <c r="B189"/>
      <c r="C189">
        <v>6151</v>
      </c>
      <c r="D189">
        <v>2357</v>
      </c>
      <c r="E189"/>
      <c r="F189"/>
      <c r="G189">
        <v>210</v>
      </c>
      <c r="H189">
        <v>86</v>
      </c>
      <c r="I189">
        <v>9701</v>
      </c>
      <c r="J189">
        <v>86</v>
      </c>
      <c r="K189">
        <v>6092</v>
      </c>
      <c r="L189">
        <v>3523</v>
      </c>
      <c r="M189">
        <v>6837</v>
      </c>
      <c r="N189">
        <v>2864</v>
      </c>
      <c r="O189" t="s">
        <v>914</v>
      </c>
      <c r="P189" t="s">
        <v>508</v>
      </c>
      <c r="Q189" s="31">
        <v>20925</v>
      </c>
      <c r="R189" s="31" t="s">
        <v>508</v>
      </c>
      <c r="S189" s="31" t="s">
        <v>914</v>
      </c>
      <c r="T189" s="31">
        <v>2.9099999999999998E-3</v>
      </c>
      <c r="U189" s="31">
        <v>0.1207</v>
      </c>
      <c r="V189" s="31">
        <v>0.21720999999999999</v>
      </c>
      <c r="W189" s="31">
        <v>0.20308999999999999</v>
      </c>
      <c r="X189" s="31">
        <v>68.606409999999997</v>
      </c>
    </row>
    <row r="190" spans="1:24" x14ac:dyDescent="0.25">
      <c r="A190">
        <v>3889</v>
      </c>
      <c r="B190"/>
      <c r="C190">
        <v>14268</v>
      </c>
      <c r="D190">
        <v>8336</v>
      </c>
      <c r="E190"/>
      <c r="F190"/>
      <c r="G190">
        <v>288</v>
      </c>
      <c r="H190">
        <v>195</v>
      </c>
      <c r="I190">
        <v>26976</v>
      </c>
      <c r="J190">
        <v>74</v>
      </c>
      <c r="K190">
        <v>16871</v>
      </c>
      <c r="L190">
        <v>9979</v>
      </c>
      <c r="M190">
        <v>16061</v>
      </c>
      <c r="N190">
        <v>10862</v>
      </c>
      <c r="O190" t="s">
        <v>825</v>
      </c>
      <c r="P190" t="s">
        <v>185</v>
      </c>
      <c r="Q190" s="31">
        <v>62720</v>
      </c>
      <c r="R190" s="31" t="s">
        <v>185</v>
      </c>
      <c r="S190" s="31" t="s">
        <v>825</v>
      </c>
      <c r="T190" s="31">
        <v>2.47E-3</v>
      </c>
      <c r="U190" s="31">
        <v>0.13291</v>
      </c>
      <c r="V190" s="31">
        <v>0.17299999999999999</v>
      </c>
      <c r="W190" s="31">
        <v>0.16586000000000001</v>
      </c>
      <c r="X190" s="31">
        <v>64.357200000000006</v>
      </c>
    </row>
    <row r="191" spans="1:24" x14ac:dyDescent="0.25">
      <c r="A191">
        <v>755</v>
      </c>
      <c r="B191"/>
      <c r="C191">
        <v>8229</v>
      </c>
      <c r="D191">
        <v>3720</v>
      </c>
      <c r="E191"/>
      <c r="F191"/>
      <c r="G191">
        <v>70</v>
      </c>
      <c r="H191"/>
      <c r="I191">
        <v>12774</v>
      </c>
      <c r="J191">
        <v>111</v>
      </c>
      <c r="K191">
        <v>7410</v>
      </c>
      <c r="L191">
        <v>5253</v>
      </c>
      <c r="M191">
        <v>9160</v>
      </c>
      <c r="N191">
        <v>3614</v>
      </c>
      <c r="O191" t="s">
        <v>848</v>
      </c>
      <c r="P191" t="s">
        <v>418</v>
      </c>
      <c r="Q191" s="31">
        <v>28815</v>
      </c>
      <c r="R191" s="31" t="s">
        <v>418</v>
      </c>
      <c r="S191" s="31" t="s">
        <v>848</v>
      </c>
      <c r="T191" s="31">
        <v>3.65E-3</v>
      </c>
      <c r="U191" s="31">
        <v>0.13270999999999999</v>
      </c>
      <c r="V191" s="31">
        <v>0.26201999999999998</v>
      </c>
      <c r="W191" s="31">
        <v>0.23022999999999999</v>
      </c>
      <c r="X191" s="31">
        <v>72.445260000000005</v>
      </c>
    </row>
    <row r="192" spans="1:24" x14ac:dyDescent="0.25">
      <c r="A192">
        <v>894</v>
      </c>
      <c r="B192"/>
      <c r="C192">
        <v>5580</v>
      </c>
      <c r="D192">
        <v>2113</v>
      </c>
      <c r="E192"/>
      <c r="F192"/>
      <c r="G192">
        <v>253</v>
      </c>
      <c r="H192"/>
      <c r="I192">
        <v>8840</v>
      </c>
      <c r="J192">
        <v>12</v>
      </c>
      <c r="K192">
        <v>4469</v>
      </c>
      <c r="L192">
        <v>4359</v>
      </c>
      <c r="M192">
        <v>6309</v>
      </c>
      <c r="N192">
        <v>2531</v>
      </c>
      <c r="O192" t="s">
        <v>797</v>
      </c>
      <c r="P192" t="s">
        <v>377</v>
      </c>
      <c r="Q192" s="31">
        <v>20575</v>
      </c>
      <c r="R192" s="31" t="s">
        <v>377</v>
      </c>
      <c r="S192" s="31" t="s">
        <v>797</v>
      </c>
      <c r="T192" s="31">
        <v>2.7799999999999999E-3</v>
      </c>
      <c r="U192" s="31">
        <v>0.10441</v>
      </c>
      <c r="V192" s="31">
        <v>0.17965999999999999</v>
      </c>
      <c r="W192" s="31">
        <v>0.19144</v>
      </c>
      <c r="X192" s="31">
        <v>79.278999999999996</v>
      </c>
    </row>
    <row r="193" spans="1:24" x14ac:dyDescent="0.25">
      <c r="A193">
        <v>13614</v>
      </c>
      <c r="B193"/>
      <c r="C193">
        <v>23767</v>
      </c>
      <c r="D193">
        <v>18273</v>
      </c>
      <c r="E193"/>
      <c r="F193"/>
      <c r="G193">
        <v>1250</v>
      </c>
      <c r="H193">
        <v>624</v>
      </c>
      <c r="I193">
        <v>57528</v>
      </c>
      <c r="J193">
        <v>300</v>
      </c>
      <c r="K193">
        <v>26447</v>
      </c>
      <c r="L193">
        <v>30775</v>
      </c>
      <c r="M193">
        <v>25122</v>
      </c>
      <c r="N193">
        <v>32401</v>
      </c>
      <c r="O193" t="s">
        <v>927</v>
      </c>
      <c r="P193" t="s">
        <v>524</v>
      </c>
      <c r="Q193" s="31">
        <v>121055</v>
      </c>
      <c r="R193" s="31" t="s">
        <v>524</v>
      </c>
      <c r="S193" s="31" t="s">
        <v>927</v>
      </c>
      <c r="T193" s="31">
        <v>2.0500000000000002E-3</v>
      </c>
      <c r="U193" s="31">
        <v>0.15631999999999999</v>
      </c>
      <c r="V193" s="31">
        <v>0.14011999999999999</v>
      </c>
      <c r="W193" s="31">
        <v>0.14049</v>
      </c>
      <c r="X193" s="31">
        <v>54.223109999999998</v>
      </c>
    </row>
    <row r="194" spans="1:24" x14ac:dyDescent="0.25">
      <c r="A194">
        <v>1119</v>
      </c>
      <c r="B194"/>
      <c r="C194">
        <v>6924</v>
      </c>
      <c r="D194">
        <v>4405</v>
      </c>
      <c r="E194"/>
      <c r="F194"/>
      <c r="G194">
        <v>100</v>
      </c>
      <c r="H194">
        <v>185</v>
      </c>
      <c r="I194">
        <v>12733</v>
      </c>
      <c r="J194">
        <v>19</v>
      </c>
      <c r="K194">
        <v>7743</v>
      </c>
      <c r="L194">
        <v>4971</v>
      </c>
      <c r="M194">
        <v>7530</v>
      </c>
      <c r="N194">
        <v>5203</v>
      </c>
      <c r="O194" t="s">
        <v>866</v>
      </c>
      <c r="P194" t="s">
        <v>498</v>
      </c>
      <c r="Q194" s="31">
        <v>26780</v>
      </c>
      <c r="R194" s="31" t="s">
        <v>498</v>
      </c>
      <c r="S194" s="31" t="s">
        <v>866</v>
      </c>
      <c r="T194" s="31">
        <v>3.2100000000000002E-3</v>
      </c>
      <c r="U194" s="31">
        <v>0.16739999999999999</v>
      </c>
      <c r="V194" s="31">
        <v>0.22475000000000001</v>
      </c>
      <c r="W194" s="31">
        <v>0.21135999999999999</v>
      </c>
      <c r="X194" s="31">
        <v>65.691909999999993</v>
      </c>
    </row>
    <row r="195" spans="1:24" x14ac:dyDescent="0.25">
      <c r="A195">
        <v>878</v>
      </c>
      <c r="B195"/>
      <c r="C195">
        <v>6617</v>
      </c>
      <c r="D195">
        <v>2499</v>
      </c>
      <c r="E195"/>
      <c r="F195"/>
      <c r="G195">
        <v>92</v>
      </c>
      <c r="H195">
        <v>24</v>
      </c>
      <c r="I195">
        <v>10110</v>
      </c>
      <c r="J195">
        <v>0</v>
      </c>
      <c r="K195">
        <v>6273</v>
      </c>
      <c r="L195">
        <v>3837</v>
      </c>
      <c r="M195">
        <v>7029</v>
      </c>
      <c r="N195">
        <v>3081</v>
      </c>
      <c r="O195" t="s">
        <v>909</v>
      </c>
      <c r="P195" t="s">
        <v>489</v>
      </c>
      <c r="Q195" s="31">
        <v>22310</v>
      </c>
      <c r="R195" s="31" t="s">
        <v>489</v>
      </c>
      <c r="S195" s="31" t="s">
        <v>909</v>
      </c>
      <c r="T195" s="31">
        <v>3.0799999999999998E-3</v>
      </c>
      <c r="U195" s="31">
        <v>0.10833</v>
      </c>
      <c r="V195" s="31">
        <v>0.24407999999999999</v>
      </c>
      <c r="W195" s="31">
        <v>0.20707</v>
      </c>
      <c r="X195" s="31">
        <v>66.787840000000003</v>
      </c>
    </row>
    <row r="196" spans="1:24" x14ac:dyDescent="0.25">
      <c r="A196">
        <v>1975</v>
      </c>
      <c r="B196"/>
      <c r="C196">
        <v>7132</v>
      </c>
      <c r="D196">
        <v>5608</v>
      </c>
      <c r="E196"/>
      <c r="F196"/>
      <c r="G196">
        <v>118</v>
      </c>
      <c r="H196">
        <v>281</v>
      </c>
      <c r="I196">
        <v>15114</v>
      </c>
      <c r="J196">
        <v>232</v>
      </c>
      <c r="K196">
        <v>7421</v>
      </c>
      <c r="L196">
        <v>7457</v>
      </c>
      <c r="M196">
        <v>7375</v>
      </c>
      <c r="N196">
        <v>7735</v>
      </c>
      <c r="O196" t="s">
        <v>864</v>
      </c>
      <c r="P196" t="s">
        <v>507</v>
      </c>
      <c r="Q196" s="31">
        <v>32045</v>
      </c>
      <c r="R196" s="31" t="s">
        <v>507</v>
      </c>
      <c r="S196" s="31" t="s">
        <v>864</v>
      </c>
      <c r="T196" s="31">
        <v>2.99E-3</v>
      </c>
      <c r="U196" s="31">
        <v>0.18225</v>
      </c>
      <c r="V196" s="31">
        <v>0.16033</v>
      </c>
      <c r="W196" s="31">
        <v>0.21837999999999999</v>
      </c>
      <c r="X196" s="31">
        <v>77.154780000000002</v>
      </c>
    </row>
    <row r="197" spans="1:24" x14ac:dyDescent="0.25">
      <c r="A197">
        <v>507</v>
      </c>
      <c r="B197"/>
      <c r="C197">
        <v>8217</v>
      </c>
      <c r="D197">
        <v>1958</v>
      </c>
      <c r="E197"/>
      <c r="F197"/>
      <c r="G197">
        <v>397</v>
      </c>
      <c r="H197">
        <v>78</v>
      </c>
      <c r="I197">
        <v>11157</v>
      </c>
      <c r="J197">
        <v>16</v>
      </c>
      <c r="K197">
        <v>7608</v>
      </c>
      <c r="L197">
        <v>3524</v>
      </c>
      <c r="M197">
        <v>9728</v>
      </c>
      <c r="N197">
        <v>1420</v>
      </c>
      <c r="O197" t="s">
        <v>660</v>
      </c>
      <c r="P197" t="s">
        <v>246</v>
      </c>
      <c r="Q197" s="31">
        <v>27050</v>
      </c>
      <c r="R197" s="31" t="s">
        <v>246</v>
      </c>
      <c r="S197" s="31" t="s">
        <v>660</v>
      </c>
      <c r="T197" s="31">
        <v>2.7499999999999998E-3</v>
      </c>
      <c r="U197" s="31">
        <v>7.3459999999999998E-2</v>
      </c>
      <c r="V197" s="31">
        <v>0.26744000000000001</v>
      </c>
      <c r="W197" s="31">
        <v>0.19009999999999999</v>
      </c>
      <c r="X197" s="31">
        <v>59.864490000000004</v>
      </c>
    </row>
    <row r="198" spans="1:24" x14ac:dyDescent="0.25">
      <c r="A198">
        <v>1640</v>
      </c>
      <c r="B198"/>
      <c r="C198">
        <v>7071</v>
      </c>
      <c r="D198">
        <v>3589</v>
      </c>
      <c r="E198"/>
      <c r="F198"/>
      <c r="G198">
        <v>1176</v>
      </c>
      <c r="H198">
        <v>212</v>
      </c>
      <c r="I198">
        <v>13688</v>
      </c>
      <c r="J198">
        <v>118</v>
      </c>
      <c r="K198">
        <v>8924</v>
      </c>
      <c r="L198">
        <v>4610</v>
      </c>
      <c r="M198">
        <v>8649</v>
      </c>
      <c r="N198">
        <v>5039</v>
      </c>
      <c r="O198" t="s">
        <v>757</v>
      </c>
      <c r="P198" t="s">
        <v>323</v>
      </c>
      <c r="Q198" s="31">
        <v>25665</v>
      </c>
      <c r="R198" s="31" t="s">
        <v>323</v>
      </c>
      <c r="S198" s="31" t="s">
        <v>757</v>
      </c>
      <c r="T198" s="31">
        <v>2.8500000000000001E-3</v>
      </c>
      <c r="U198" s="31">
        <v>0.13994000000000001</v>
      </c>
      <c r="V198" s="31">
        <v>0.17644000000000001</v>
      </c>
      <c r="W198" s="31">
        <v>0.20713999999999999</v>
      </c>
      <c r="X198" s="31">
        <v>71.827150000000003</v>
      </c>
    </row>
    <row r="199" spans="1:24" x14ac:dyDescent="0.25">
      <c r="A199">
        <v>493</v>
      </c>
      <c r="B199"/>
      <c r="C199">
        <v>4445</v>
      </c>
      <c r="D199">
        <v>1705</v>
      </c>
      <c r="E199"/>
      <c r="F199"/>
      <c r="G199">
        <v>365</v>
      </c>
      <c r="H199">
        <v>149</v>
      </c>
      <c r="I199">
        <v>7157</v>
      </c>
      <c r="J199">
        <v>111</v>
      </c>
      <c r="K199">
        <v>4323</v>
      </c>
      <c r="L199">
        <v>2723</v>
      </c>
      <c r="M199">
        <v>5244</v>
      </c>
      <c r="N199">
        <v>1913</v>
      </c>
      <c r="O199" t="s">
        <v>587</v>
      </c>
      <c r="P199" t="s">
        <v>175</v>
      </c>
      <c r="Q199" s="31">
        <v>15945</v>
      </c>
      <c r="R199" s="31" t="s">
        <v>175</v>
      </c>
      <c r="S199" s="31" t="s">
        <v>587</v>
      </c>
      <c r="T199" s="31">
        <v>3.0699999999999998E-3</v>
      </c>
      <c r="U199" s="31">
        <v>0.10879999999999999</v>
      </c>
      <c r="V199" s="31">
        <v>0.23400000000000001</v>
      </c>
      <c r="W199" s="31">
        <v>0.20180000000000001</v>
      </c>
      <c r="X199" s="31">
        <v>67.516319999999993</v>
      </c>
    </row>
    <row r="200" spans="1:24" x14ac:dyDescent="0.25">
      <c r="A200">
        <v>858</v>
      </c>
      <c r="B200"/>
      <c r="C200">
        <v>6305</v>
      </c>
      <c r="D200">
        <v>2969</v>
      </c>
      <c r="E200"/>
      <c r="F200"/>
      <c r="G200">
        <v>104</v>
      </c>
      <c r="H200">
        <v>336</v>
      </c>
      <c r="I200">
        <v>10572</v>
      </c>
      <c r="J200">
        <v>290</v>
      </c>
      <c r="K200">
        <v>7305</v>
      </c>
      <c r="L200">
        <v>2957</v>
      </c>
      <c r="M200">
        <v>6646</v>
      </c>
      <c r="N200">
        <v>3906</v>
      </c>
      <c r="O200" t="s">
        <v>922</v>
      </c>
      <c r="P200" t="s">
        <v>516</v>
      </c>
      <c r="Q200" s="31">
        <v>22890</v>
      </c>
      <c r="R200" s="31" t="s">
        <v>516</v>
      </c>
      <c r="S200" s="31" t="s">
        <v>922</v>
      </c>
      <c r="T200" s="31">
        <v>2.8999999999999998E-3</v>
      </c>
      <c r="U200" s="31">
        <v>0.13622999999999999</v>
      </c>
      <c r="V200" s="31">
        <v>0.29197000000000001</v>
      </c>
      <c r="W200" s="31">
        <v>0.19953000000000001</v>
      </c>
      <c r="X200" s="31">
        <v>48.403939999999999</v>
      </c>
    </row>
    <row r="201" spans="1:24" x14ac:dyDescent="0.25">
      <c r="A201">
        <v>860</v>
      </c>
      <c r="B201"/>
      <c r="C201">
        <v>7490</v>
      </c>
      <c r="D201">
        <v>1558</v>
      </c>
      <c r="E201"/>
      <c r="F201"/>
      <c r="G201">
        <v>116</v>
      </c>
      <c r="H201"/>
      <c r="I201">
        <v>10024</v>
      </c>
      <c r="J201">
        <v>10</v>
      </c>
      <c r="K201">
        <v>6378</v>
      </c>
      <c r="L201">
        <v>3632</v>
      </c>
      <c r="M201">
        <v>8031</v>
      </c>
      <c r="N201">
        <v>1989</v>
      </c>
      <c r="O201" t="s">
        <v>839</v>
      </c>
      <c r="P201" t="s">
        <v>405</v>
      </c>
      <c r="Q201" s="31">
        <v>23685</v>
      </c>
      <c r="R201" s="31" t="s">
        <v>405</v>
      </c>
      <c r="S201" s="31" t="s">
        <v>839</v>
      </c>
      <c r="T201" s="31">
        <v>2.7200000000000002E-3</v>
      </c>
      <c r="U201" s="31">
        <v>6.9260000000000002E-2</v>
      </c>
      <c r="V201" s="31">
        <v>0.24929999999999999</v>
      </c>
      <c r="W201" s="31">
        <v>0.19094</v>
      </c>
      <c r="X201" s="31">
        <v>63.993600000000001</v>
      </c>
    </row>
    <row r="202" spans="1:24" x14ac:dyDescent="0.25">
      <c r="A202">
        <v>586</v>
      </c>
      <c r="B202"/>
      <c r="C202">
        <v>9487</v>
      </c>
      <c r="D202">
        <v>2527</v>
      </c>
      <c r="E202"/>
      <c r="F202"/>
      <c r="G202">
        <v>213</v>
      </c>
      <c r="H202"/>
      <c r="I202">
        <v>12813</v>
      </c>
      <c r="J202">
        <v>47</v>
      </c>
      <c r="K202">
        <v>8317</v>
      </c>
      <c r="L202">
        <v>4443</v>
      </c>
      <c r="M202">
        <v>10812</v>
      </c>
      <c r="N202">
        <v>1994</v>
      </c>
      <c r="O202" t="s">
        <v>664</v>
      </c>
      <c r="P202" t="s">
        <v>250</v>
      </c>
      <c r="Q202" s="31">
        <v>28650</v>
      </c>
      <c r="R202" s="31" t="s">
        <v>250</v>
      </c>
      <c r="S202" s="31" t="s">
        <v>664</v>
      </c>
      <c r="T202" s="31">
        <v>3.0599999999999998E-3</v>
      </c>
      <c r="U202" s="31">
        <v>8.7010000000000004E-2</v>
      </c>
      <c r="V202" s="31">
        <v>0.28532000000000002</v>
      </c>
      <c r="W202" s="31">
        <v>0.21942</v>
      </c>
      <c r="X202" s="31">
        <v>62.682740000000003</v>
      </c>
    </row>
    <row r="203" spans="1:24" x14ac:dyDescent="0.25">
      <c r="A203">
        <v>118</v>
      </c>
      <c r="B203"/>
      <c r="C203">
        <v>3394</v>
      </c>
      <c r="D203">
        <v>771</v>
      </c>
      <c r="E203"/>
      <c r="F203"/>
      <c r="G203">
        <v>206</v>
      </c>
      <c r="H203"/>
      <c r="I203">
        <v>4489</v>
      </c>
      <c r="J203">
        <v>0</v>
      </c>
      <c r="K203">
        <v>3170</v>
      </c>
      <c r="L203">
        <v>1282</v>
      </c>
      <c r="M203">
        <v>4146</v>
      </c>
      <c r="N203">
        <v>306</v>
      </c>
      <c r="O203" t="s">
        <v>913</v>
      </c>
      <c r="P203" t="s">
        <v>493</v>
      </c>
      <c r="Q203" s="31">
        <v>10665</v>
      </c>
      <c r="R203" s="31" t="s">
        <v>493</v>
      </c>
      <c r="S203" s="31" t="s">
        <v>913</v>
      </c>
      <c r="T203" s="31">
        <v>2.8600000000000001E-3</v>
      </c>
      <c r="U203" s="31">
        <v>7.2539999999999993E-2</v>
      </c>
      <c r="V203" s="31">
        <v>0.27553</v>
      </c>
      <c r="W203" s="31">
        <v>0.19797000000000001</v>
      </c>
      <c r="X203" s="31">
        <v>61.615859999999998</v>
      </c>
    </row>
    <row r="204" spans="1:24" x14ac:dyDescent="0.25">
      <c r="A204">
        <v>537</v>
      </c>
      <c r="B204"/>
      <c r="C204">
        <v>3113</v>
      </c>
      <c r="D204">
        <v>584</v>
      </c>
      <c r="E204"/>
      <c r="F204"/>
      <c r="G204">
        <v>204</v>
      </c>
      <c r="H204"/>
      <c r="I204">
        <v>4438</v>
      </c>
      <c r="J204">
        <v>61</v>
      </c>
      <c r="K204">
        <v>3090</v>
      </c>
      <c r="L204">
        <v>1287</v>
      </c>
      <c r="M204">
        <v>3644</v>
      </c>
      <c r="N204">
        <v>794</v>
      </c>
      <c r="O204" t="s">
        <v>577</v>
      </c>
      <c r="P204" t="s">
        <v>165</v>
      </c>
      <c r="Q204" s="31">
        <v>9830</v>
      </c>
      <c r="R204" s="31" t="s">
        <v>165</v>
      </c>
      <c r="S204" s="31" t="s">
        <v>577</v>
      </c>
      <c r="T204" s="31">
        <v>2.9499999999999999E-3</v>
      </c>
      <c r="U204" s="31">
        <v>6.2210000000000001E-2</v>
      </c>
      <c r="V204" s="31">
        <v>0.29776000000000002</v>
      </c>
      <c r="W204" s="31">
        <v>0.19872999999999999</v>
      </c>
      <c r="X204" s="31">
        <v>57.762529999999998</v>
      </c>
    </row>
    <row r="205" spans="1:24" x14ac:dyDescent="0.25">
      <c r="A205">
        <v>743</v>
      </c>
      <c r="B205"/>
      <c r="C205">
        <v>9034</v>
      </c>
      <c r="D205">
        <v>4813</v>
      </c>
      <c r="E205"/>
      <c r="F205"/>
      <c r="G205">
        <v>58</v>
      </c>
      <c r="H205">
        <v>433</v>
      </c>
      <c r="I205">
        <v>15081</v>
      </c>
      <c r="J205">
        <v>0</v>
      </c>
      <c r="K205">
        <v>9485</v>
      </c>
      <c r="L205">
        <v>5587</v>
      </c>
      <c r="M205">
        <v>9935</v>
      </c>
      <c r="N205">
        <v>5137</v>
      </c>
      <c r="O205" t="s">
        <v>880</v>
      </c>
      <c r="P205" t="s">
        <v>504</v>
      </c>
      <c r="Q205" s="31">
        <v>32100</v>
      </c>
      <c r="R205" s="31" t="s">
        <v>504</v>
      </c>
      <c r="S205" s="31" t="s">
        <v>880</v>
      </c>
      <c r="T205" s="31">
        <v>3.2100000000000002E-3</v>
      </c>
      <c r="U205" s="31">
        <v>0.14776</v>
      </c>
      <c r="V205" s="31">
        <v>0.24371000000000001</v>
      </c>
      <c r="W205" s="31">
        <v>0.2069</v>
      </c>
      <c r="X205" s="31">
        <v>66.398229999999998</v>
      </c>
    </row>
    <row r="206" spans="1:24" x14ac:dyDescent="0.25">
      <c r="A206">
        <v>3637</v>
      </c>
      <c r="B206"/>
      <c r="C206">
        <v>10126</v>
      </c>
      <c r="D206">
        <v>5973</v>
      </c>
      <c r="E206"/>
      <c r="F206"/>
      <c r="G206">
        <v>986</v>
      </c>
      <c r="H206">
        <v>255</v>
      </c>
      <c r="I206">
        <v>20977</v>
      </c>
      <c r="J206">
        <v>70</v>
      </c>
      <c r="K206">
        <v>10853</v>
      </c>
      <c r="L206">
        <v>10044</v>
      </c>
      <c r="M206">
        <v>11719</v>
      </c>
      <c r="N206">
        <v>9249</v>
      </c>
      <c r="O206" t="s">
        <v>780</v>
      </c>
      <c r="P206" t="s">
        <v>344</v>
      </c>
      <c r="Q206" s="31">
        <v>45225</v>
      </c>
      <c r="R206" s="31" t="s">
        <v>344</v>
      </c>
      <c r="S206" s="31" t="s">
        <v>780</v>
      </c>
      <c r="T206" s="31">
        <v>3.7000000000000002E-3</v>
      </c>
      <c r="U206" s="31">
        <v>0.13281000000000001</v>
      </c>
      <c r="V206" s="31">
        <v>0.17948</v>
      </c>
      <c r="W206" s="31">
        <v>0.23943999999999999</v>
      </c>
      <c r="X206" s="31">
        <v>86.966160000000002</v>
      </c>
    </row>
    <row r="207" spans="1:24" x14ac:dyDescent="0.25">
      <c r="A207">
        <v>86073</v>
      </c>
      <c r="B207"/>
      <c r="C207">
        <v>73659</v>
      </c>
      <c r="D207">
        <v>104778</v>
      </c>
      <c r="E207"/>
      <c r="F207"/>
      <c r="G207">
        <v>3070</v>
      </c>
      <c r="H207">
        <v>73702</v>
      </c>
      <c r="I207">
        <v>341282</v>
      </c>
      <c r="J207">
        <v>1901</v>
      </c>
      <c r="K207">
        <v>114251</v>
      </c>
      <c r="L207">
        <v>225057</v>
      </c>
      <c r="M207">
        <v>82423</v>
      </c>
      <c r="N207">
        <v>258786</v>
      </c>
      <c r="O207" t="s">
        <v>807</v>
      </c>
      <c r="P207" t="s">
        <v>387</v>
      </c>
      <c r="Q207" s="31">
        <v>616815</v>
      </c>
      <c r="R207" s="31" t="s">
        <v>387</v>
      </c>
      <c r="S207" s="31" t="s">
        <v>807</v>
      </c>
      <c r="T207" s="31">
        <v>2.2799999999999999E-3</v>
      </c>
      <c r="U207" s="31">
        <v>0.17125000000000001</v>
      </c>
      <c r="V207" s="31">
        <v>8.1589999999999996E-2</v>
      </c>
      <c r="W207" s="31">
        <v>0.15089</v>
      </c>
      <c r="X207" s="31">
        <v>71.375789999999995</v>
      </c>
    </row>
    <row r="208" spans="1:24" x14ac:dyDescent="0.25">
      <c r="A208">
        <v>8551</v>
      </c>
      <c r="B208"/>
      <c r="C208">
        <v>6511</v>
      </c>
      <c r="D208">
        <v>10574</v>
      </c>
      <c r="E208"/>
      <c r="F208"/>
      <c r="G208">
        <v>1509</v>
      </c>
      <c r="H208">
        <v>1247</v>
      </c>
      <c r="I208">
        <v>28392</v>
      </c>
      <c r="J208">
        <v>237</v>
      </c>
      <c r="K208">
        <v>12754</v>
      </c>
      <c r="L208">
        <v>15387</v>
      </c>
      <c r="M208">
        <v>7337</v>
      </c>
      <c r="N208">
        <v>21041</v>
      </c>
      <c r="O208" t="s">
        <v>818</v>
      </c>
      <c r="P208" t="s">
        <v>178</v>
      </c>
      <c r="Q208" s="31">
        <v>47575</v>
      </c>
      <c r="R208" s="31" t="s">
        <v>178</v>
      </c>
      <c r="S208" s="31" t="s">
        <v>818</v>
      </c>
      <c r="T208" s="31">
        <v>2.7599999999999999E-3</v>
      </c>
      <c r="U208" s="31">
        <v>0.21887999999999999</v>
      </c>
      <c r="V208" s="31">
        <v>7.8549999999999995E-2</v>
      </c>
      <c r="W208" s="31">
        <v>0.22836999999999999</v>
      </c>
      <c r="X208" s="31">
        <v>89.95214</v>
      </c>
    </row>
    <row r="209" spans="1:24" x14ac:dyDescent="0.25">
      <c r="A209">
        <v>10026</v>
      </c>
      <c r="B209"/>
      <c r="C209">
        <v>10676</v>
      </c>
      <c r="D209">
        <v>17164</v>
      </c>
      <c r="E209"/>
      <c r="F209"/>
      <c r="G209">
        <v>612</v>
      </c>
      <c r="H209">
        <v>263</v>
      </c>
      <c r="I209">
        <v>38741</v>
      </c>
      <c r="J209">
        <v>54</v>
      </c>
      <c r="K209">
        <v>18934</v>
      </c>
      <c r="L209">
        <v>19554</v>
      </c>
      <c r="M209">
        <v>11713</v>
      </c>
      <c r="N209">
        <v>26835</v>
      </c>
      <c r="O209" t="s">
        <v>738</v>
      </c>
      <c r="P209" t="s">
        <v>308</v>
      </c>
      <c r="Q209" s="31">
        <v>76330</v>
      </c>
      <c r="R209" s="31" t="s">
        <v>308</v>
      </c>
      <c r="S209" s="31" t="s">
        <v>738</v>
      </c>
      <c r="T209" s="31">
        <v>2.3800000000000002E-3</v>
      </c>
      <c r="U209" s="31">
        <v>0.22023000000000001</v>
      </c>
      <c r="V209" s="31">
        <v>8.9980000000000004E-2</v>
      </c>
      <c r="W209" s="31">
        <v>0.16991999999999999</v>
      </c>
      <c r="X209" s="31">
        <v>75.642009999999999</v>
      </c>
    </row>
    <row r="210" spans="1:24" x14ac:dyDescent="0.25">
      <c r="A210">
        <v>1173</v>
      </c>
      <c r="B210"/>
      <c r="C210">
        <v>6117</v>
      </c>
      <c r="D210">
        <v>3364</v>
      </c>
      <c r="E210"/>
      <c r="F210"/>
      <c r="G210">
        <v>158</v>
      </c>
      <c r="H210">
        <v>170</v>
      </c>
      <c r="I210">
        <v>10982</v>
      </c>
      <c r="J210">
        <v>59</v>
      </c>
      <c r="K210">
        <v>5919</v>
      </c>
      <c r="L210">
        <v>4947</v>
      </c>
      <c r="M210">
        <v>6830</v>
      </c>
      <c r="N210">
        <v>4096</v>
      </c>
      <c r="O210" t="s">
        <v>573</v>
      </c>
      <c r="P210" t="s">
        <v>164</v>
      </c>
      <c r="Q210" s="31">
        <v>24460</v>
      </c>
      <c r="R210" s="31" t="s">
        <v>164</v>
      </c>
      <c r="S210" s="31" t="s">
        <v>573</v>
      </c>
      <c r="T210" s="31">
        <v>2.8500000000000001E-3</v>
      </c>
      <c r="U210" s="31">
        <v>0.14177000000000001</v>
      </c>
      <c r="V210" s="31">
        <v>0.15518999999999999</v>
      </c>
      <c r="W210" s="31">
        <v>0.19056000000000001</v>
      </c>
      <c r="X210" s="31">
        <v>85.53152</v>
      </c>
    </row>
    <row r="211" spans="1:24" x14ac:dyDescent="0.25">
      <c r="A211">
        <v>313</v>
      </c>
      <c r="B211"/>
      <c r="C211">
        <v>4178</v>
      </c>
      <c r="D211">
        <v>1045</v>
      </c>
      <c r="E211"/>
      <c r="F211"/>
      <c r="G211">
        <v>172</v>
      </c>
      <c r="H211"/>
      <c r="I211">
        <v>5708</v>
      </c>
      <c r="J211">
        <v>4</v>
      </c>
      <c r="K211">
        <v>3919</v>
      </c>
      <c r="L211">
        <v>1784</v>
      </c>
      <c r="M211">
        <v>4895</v>
      </c>
      <c r="N211">
        <v>813</v>
      </c>
      <c r="O211" t="s">
        <v>878</v>
      </c>
      <c r="P211" t="s">
        <v>439</v>
      </c>
      <c r="Q211" s="31">
        <v>12715</v>
      </c>
      <c r="R211" s="31" t="s">
        <v>439</v>
      </c>
      <c r="S211" s="31" t="s">
        <v>878</v>
      </c>
      <c r="T211" s="31">
        <v>3.2100000000000002E-3</v>
      </c>
      <c r="U211" s="31">
        <v>8.4659999999999999E-2</v>
      </c>
      <c r="V211" s="31">
        <v>0.27584999999999998</v>
      </c>
      <c r="W211" s="31">
        <v>0.22109000000000001</v>
      </c>
      <c r="X211" s="31">
        <v>66.897589999999994</v>
      </c>
    </row>
    <row r="212" spans="1:24" x14ac:dyDescent="0.25">
      <c r="A212">
        <v>583</v>
      </c>
      <c r="B212"/>
      <c r="C212">
        <v>6998</v>
      </c>
      <c r="D212">
        <v>2056</v>
      </c>
      <c r="E212"/>
      <c r="F212"/>
      <c r="G212">
        <v>728</v>
      </c>
      <c r="H212"/>
      <c r="I212">
        <v>10365</v>
      </c>
      <c r="J212">
        <v>6</v>
      </c>
      <c r="K212">
        <v>6773</v>
      </c>
      <c r="L212">
        <v>3565</v>
      </c>
      <c r="M212">
        <v>8374</v>
      </c>
      <c r="N212">
        <v>1970</v>
      </c>
      <c r="O212" t="s">
        <v>843</v>
      </c>
      <c r="P212" t="s">
        <v>505</v>
      </c>
      <c r="Q212" s="31">
        <v>24915</v>
      </c>
      <c r="R212" s="31" t="s">
        <v>505</v>
      </c>
      <c r="S212" s="31" t="s">
        <v>843</v>
      </c>
      <c r="T212" s="31">
        <v>2.3900000000000002E-3</v>
      </c>
      <c r="U212" s="31">
        <v>8.1070000000000003E-2</v>
      </c>
      <c r="V212" s="31">
        <v>0.29189999999999999</v>
      </c>
      <c r="W212" s="31">
        <v>0.16278000000000001</v>
      </c>
      <c r="X212" s="31">
        <v>44.398940000000003</v>
      </c>
    </row>
    <row r="213" spans="1:24" x14ac:dyDescent="0.25">
      <c r="A213">
        <v>499</v>
      </c>
      <c r="B213"/>
      <c r="C213">
        <v>4166</v>
      </c>
      <c r="D213">
        <v>2186</v>
      </c>
      <c r="E213"/>
      <c r="F213"/>
      <c r="G213">
        <v>255</v>
      </c>
      <c r="H213">
        <v>335</v>
      </c>
      <c r="I213">
        <v>7441</v>
      </c>
      <c r="J213">
        <v>4</v>
      </c>
      <c r="K213">
        <v>4802</v>
      </c>
      <c r="L213">
        <v>2635</v>
      </c>
      <c r="M213">
        <v>6027</v>
      </c>
      <c r="N213">
        <v>1414</v>
      </c>
      <c r="O213" t="s">
        <v>905</v>
      </c>
      <c r="P213" t="s">
        <v>408</v>
      </c>
      <c r="Q213" s="31">
        <v>13935</v>
      </c>
      <c r="R213" s="31" t="s">
        <v>408</v>
      </c>
      <c r="S213" s="31" t="s">
        <v>905</v>
      </c>
      <c r="T213" s="31">
        <v>3.7599999999999999E-3</v>
      </c>
      <c r="U213" s="31">
        <v>0.15859999999999999</v>
      </c>
      <c r="V213" s="31">
        <v>0.27295000000000003</v>
      </c>
      <c r="W213" s="31">
        <v>0.25562000000000001</v>
      </c>
      <c r="X213" s="31">
        <v>66.770589999999999</v>
      </c>
    </row>
    <row r="214" spans="1:24" x14ac:dyDescent="0.25">
      <c r="A214">
        <v>219</v>
      </c>
      <c r="B214"/>
      <c r="C214">
        <v>2808</v>
      </c>
      <c r="D214">
        <v>772</v>
      </c>
      <c r="E214"/>
      <c r="F214"/>
      <c r="G214">
        <v>163</v>
      </c>
      <c r="H214"/>
      <c r="I214">
        <v>3962</v>
      </c>
      <c r="J214">
        <v>8</v>
      </c>
      <c r="K214">
        <v>2553</v>
      </c>
      <c r="L214">
        <v>1393</v>
      </c>
      <c r="M214">
        <v>3319</v>
      </c>
      <c r="N214">
        <v>636</v>
      </c>
      <c r="O214" t="s">
        <v>721</v>
      </c>
      <c r="P214" t="s">
        <v>482</v>
      </c>
      <c r="Q214" s="31">
        <v>8655</v>
      </c>
      <c r="R214" s="31" t="s">
        <v>482</v>
      </c>
      <c r="S214" s="31" t="s">
        <v>721</v>
      </c>
      <c r="T214" s="31">
        <v>2.8900000000000002E-3</v>
      </c>
      <c r="U214" s="31">
        <v>8.6489999999999997E-2</v>
      </c>
      <c r="V214" s="31">
        <v>0.24124000000000001</v>
      </c>
      <c r="W214" s="31">
        <v>0.20945</v>
      </c>
      <c r="X214" s="31">
        <v>67.548169999999999</v>
      </c>
    </row>
    <row r="215" spans="1:24" x14ac:dyDescent="0.25">
      <c r="A215">
        <v>296</v>
      </c>
      <c r="B215"/>
      <c r="C215">
        <v>6017</v>
      </c>
      <c r="D215">
        <v>1699</v>
      </c>
      <c r="E215"/>
      <c r="F215"/>
      <c r="G215">
        <v>270</v>
      </c>
      <c r="H215"/>
      <c r="I215">
        <v>8282</v>
      </c>
      <c r="J215">
        <v>0</v>
      </c>
      <c r="K215">
        <v>5152</v>
      </c>
      <c r="L215">
        <v>3116</v>
      </c>
      <c r="M215">
        <v>6798</v>
      </c>
      <c r="N215">
        <v>1470</v>
      </c>
      <c r="O215" t="s">
        <v>812</v>
      </c>
      <c r="P215" t="s">
        <v>171</v>
      </c>
      <c r="Q215" s="31">
        <v>19570</v>
      </c>
      <c r="R215" s="31" t="s">
        <v>171</v>
      </c>
      <c r="S215" s="31" t="s">
        <v>812</v>
      </c>
      <c r="T215" s="31">
        <v>2.64E-3</v>
      </c>
      <c r="U215" s="31">
        <v>8.4190000000000001E-2</v>
      </c>
      <c r="V215" s="31">
        <v>0.25552999999999998</v>
      </c>
      <c r="W215" s="31">
        <v>0.19602</v>
      </c>
      <c r="X215" s="31">
        <v>59.373980000000003</v>
      </c>
    </row>
    <row r="216" spans="1:24" x14ac:dyDescent="0.25">
      <c r="A216">
        <v>8781</v>
      </c>
      <c r="B216"/>
      <c r="C216">
        <v>12494</v>
      </c>
      <c r="D216">
        <v>13790</v>
      </c>
      <c r="E216"/>
      <c r="F216"/>
      <c r="G216">
        <v>382</v>
      </c>
      <c r="H216">
        <v>354</v>
      </c>
      <c r="I216">
        <v>35801</v>
      </c>
      <c r="J216">
        <v>302</v>
      </c>
      <c r="K216">
        <v>15196</v>
      </c>
      <c r="L216">
        <v>20251</v>
      </c>
      <c r="M216">
        <v>12945</v>
      </c>
      <c r="N216">
        <v>22804</v>
      </c>
      <c r="O216" t="s">
        <v>640</v>
      </c>
      <c r="P216" t="s">
        <v>226</v>
      </c>
      <c r="Q216" s="31">
        <v>70915</v>
      </c>
      <c r="R216" s="31" t="s">
        <v>226</v>
      </c>
      <c r="S216" s="31" t="s">
        <v>640</v>
      </c>
      <c r="T216" s="31">
        <v>2.98E-3</v>
      </c>
      <c r="U216" s="31">
        <v>0.19188</v>
      </c>
      <c r="V216" s="31">
        <v>0.11543</v>
      </c>
      <c r="W216" s="31">
        <v>0.20684</v>
      </c>
      <c r="X216" s="31">
        <v>86.14385</v>
      </c>
    </row>
    <row r="217" spans="1:24" x14ac:dyDescent="0.25">
      <c r="A217">
        <v>1742</v>
      </c>
      <c r="B217"/>
      <c r="C217">
        <v>7034</v>
      </c>
      <c r="D217">
        <v>2910</v>
      </c>
      <c r="E217"/>
      <c r="F217"/>
      <c r="G217">
        <v>146</v>
      </c>
      <c r="H217">
        <v>77</v>
      </c>
      <c r="I217">
        <v>11909</v>
      </c>
      <c r="J217">
        <v>0</v>
      </c>
      <c r="K217">
        <v>7349</v>
      </c>
      <c r="L217">
        <v>4560</v>
      </c>
      <c r="M217">
        <v>7746</v>
      </c>
      <c r="N217">
        <v>4163</v>
      </c>
      <c r="O217" t="s">
        <v>574</v>
      </c>
      <c r="P217" t="s">
        <v>369</v>
      </c>
      <c r="Q217" s="31">
        <v>24920</v>
      </c>
      <c r="R217" s="31" t="s">
        <v>369</v>
      </c>
      <c r="S217" s="31" t="s">
        <v>574</v>
      </c>
      <c r="T217" s="31">
        <v>3.0899999999999999E-3</v>
      </c>
      <c r="U217" s="31">
        <v>0.11781</v>
      </c>
      <c r="V217" s="31">
        <v>0.25944</v>
      </c>
      <c r="W217" s="31">
        <v>0.22192999999999999</v>
      </c>
      <c r="X217" s="31">
        <v>58.35915</v>
      </c>
    </row>
    <row r="218" spans="1:24" x14ac:dyDescent="0.25">
      <c r="A218">
        <v>693</v>
      </c>
      <c r="B218"/>
      <c r="C218">
        <v>6995</v>
      </c>
      <c r="D218">
        <v>3278</v>
      </c>
      <c r="E218"/>
      <c r="F218"/>
      <c r="G218">
        <v>143</v>
      </c>
      <c r="H218">
        <v>508</v>
      </c>
      <c r="I218">
        <v>11617</v>
      </c>
      <c r="J218">
        <v>84</v>
      </c>
      <c r="K218">
        <v>6727</v>
      </c>
      <c r="L218">
        <v>4787</v>
      </c>
      <c r="M218">
        <v>7826</v>
      </c>
      <c r="N218">
        <v>3773</v>
      </c>
      <c r="O218" t="s">
        <v>548</v>
      </c>
      <c r="P218" t="s">
        <v>144</v>
      </c>
      <c r="Q218" s="31">
        <v>25460</v>
      </c>
      <c r="R218" s="31" t="s">
        <v>144</v>
      </c>
      <c r="S218" s="31" t="s">
        <v>548</v>
      </c>
      <c r="T218" s="31">
        <v>3.0599999999999998E-3</v>
      </c>
      <c r="U218" s="31">
        <v>0.14860000000000001</v>
      </c>
      <c r="V218" s="31">
        <v>0.23391999999999999</v>
      </c>
      <c r="W218" s="31">
        <v>0.19342999999999999</v>
      </c>
      <c r="X218" s="31">
        <v>64.656400000000005</v>
      </c>
    </row>
    <row r="219" spans="1:24" x14ac:dyDescent="0.25">
      <c r="A219">
        <v>1356</v>
      </c>
      <c r="B219"/>
      <c r="C219">
        <v>8403</v>
      </c>
      <c r="D219">
        <v>2676</v>
      </c>
      <c r="E219"/>
      <c r="F219"/>
      <c r="G219">
        <v>176</v>
      </c>
      <c r="H219">
        <v>201</v>
      </c>
      <c r="I219">
        <v>12812</v>
      </c>
      <c r="J219">
        <v>31</v>
      </c>
      <c r="K219">
        <v>6781</v>
      </c>
      <c r="L219">
        <v>5986</v>
      </c>
      <c r="M219">
        <v>9140</v>
      </c>
      <c r="N219">
        <v>3658</v>
      </c>
      <c r="O219" t="s">
        <v>910</v>
      </c>
      <c r="P219" t="s">
        <v>490</v>
      </c>
      <c r="Q219" s="31">
        <v>25635</v>
      </c>
      <c r="R219" s="31" t="s">
        <v>490</v>
      </c>
      <c r="S219" s="31" t="s">
        <v>910</v>
      </c>
      <c r="T219" s="31">
        <v>3.6600000000000001E-3</v>
      </c>
      <c r="U219" s="31">
        <v>0.10412</v>
      </c>
      <c r="V219" s="31">
        <v>0.35799999999999998</v>
      </c>
      <c r="W219" s="31">
        <v>0.24998999999999999</v>
      </c>
      <c r="X219" s="31">
        <v>54.827480000000001</v>
      </c>
    </row>
    <row r="220" spans="1:24" x14ac:dyDescent="0.25">
      <c r="A220">
        <v>2099</v>
      </c>
      <c r="B220"/>
      <c r="C220">
        <v>14330</v>
      </c>
      <c r="D220">
        <v>5144</v>
      </c>
      <c r="E220"/>
      <c r="F220"/>
      <c r="G220">
        <v>606</v>
      </c>
      <c r="H220">
        <v>109</v>
      </c>
      <c r="I220">
        <v>22288</v>
      </c>
      <c r="J220">
        <v>163</v>
      </c>
      <c r="K220">
        <v>14766</v>
      </c>
      <c r="L220">
        <v>7330</v>
      </c>
      <c r="M220">
        <v>16303</v>
      </c>
      <c r="N220">
        <v>5956</v>
      </c>
      <c r="O220" t="s">
        <v>883</v>
      </c>
      <c r="P220" t="s">
        <v>294</v>
      </c>
      <c r="Q220" s="31">
        <v>50510</v>
      </c>
      <c r="R220" s="31" t="s">
        <v>294</v>
      </c>
      <c r="S220" s="31" t="s">
        <v>883</v>
      </c>
      <c r="T220" s="31">
        <v>2.5699999999999998E-3</v>
      </c>
      <c r="U220" s="31">
        <v>0.10274999999999999</v>
      </c>
      <c r="V220" s="31">
        <v>0.24443000000000001</v>
      </c>
      <c r="W220" s="31">
        <v>0.17257</v>
      </c>
      <c r="X220" s="31">
        <v>54.681789999999999</v>
      </c>
    </row>
    <row r="221" spans="1:24" x14ac:dyDescent="0.25">
      <c r="A221">
        <v>4769</v>
      </c>
      <c r="B221"/>
      <c r="C221">
        <v>30085</v>
      </c>
      <c r="D221">
        <v>20463</v>
      </c>
      <c r="E221"/>
      <c r="F221"/>
      <c r="G221">
        <v>252</v>
      </c>
      <c r="H221">
        <v>988</v>
      </c>
      <c r="I221">
        <v>56557</v>
      </c>
      <c r="J221">
        <v>0</v>
      </c>
      <c r="K221">
        <v>29468</v>
      </c>
      <c r="L221">
        <v>27020</v>
      </c>
      <c r="M221">
        <v>32219</v>
      </c>
      <c r="N221">
        <v>24269</v>
      </c>
      <c r="O221" t="s">
        <v>840</v>
      </c>
      <c r="P221" t="s">
        <v>198</v>
      </c>
      <c r="Q221" s="31">
        <v>123505</v>
      </c>
      <c r="R221" s="31" t="s">
        <v>198</v>
      </c>
      <c r="S221" s="31" t="s">
        <v>840</v>
      </c>
      <c r="T221" s="31">
        <v>2.4099999999999998E-3</v>
      </c>
      <c r="U221" s="31">
        <v>0.16350000000000001</v>
      </c>
      <c r="V221" s="31">
        <v>0.18365999999999999</v>
      </c>
      <c r="W221" s="31">
        <v>0.16619999999999999</v>
      </c>
      <c r="X221" s="31">
        <v>59.677370000000003</v>
      </c>
    </row>
    <row r="222" spans="1:24" x14ac:dyDescent="0.25">
      <c r="A222">
        <v>211</v>
      </c>
      <c r="B222"/>
      <c r="C222">
        <v>2408</v>
      </c>
      <c r="D222">
        <v>713</v>
      </c>
      <c r="E222"/>
      <c r="F222"/>
      <c r="G222">
        <v>94</v>
      </c>
      <c r="H222"/>
      <c r="I222">
        <v>3426</v>
      </c>
      <c r="J222">
        <v>56</v>
      </c>
      <c r="K222">
        <v>2479</v>
      </c>
      <c r="L222">
        <v>891</v>
      </c>
      <c r="M222">
        <v>2713</v>
      </c>
      <c r="N222">
        <v>713</v>
      </c>
      <c r="O222" t="s">
        <v>710</v>
      </c>
      <c r="P222" t="s">
        <v>292</v>
      </c>
      <c r="Q222" s="31">
        <v>8060</v>
      </c>
      <c r="R222" s="31" t="s">
        <v>292</v>
      </c>
      <c r="S222" s="31" t="s">
        <v>710</v>
      </c>
      <c r="T222" s="31">
        <v>2.7699999999999999E-3</v>
      </c>
      <c r="U222" s="31">
        <v>9.1189999999999993E-2</v>
      </c>
      <c r="V222" s="31">
        <v>0.21243999999999999</v>
      </c>
      <c r="W222" s="31">
        <v>0.20002</v>
      </c>
      <c r="X222" s="31">
        <v>72.992069999999998</v>
      </c>
    </row>
    <row r="223" spans="1:24" x14ac:dyDescent="0.25">
      <c r="A223">
        <v>2124</v>
      </c>
      <c r="B223"/>
      <c r="C223">
        <v>11599</v>
      </c>
      <c r="D223">
        <v>6599</v>
      </c>
      <c r="E223"/>
      <c r="F223"/>
      <c r="G223">
        <v>140</v>
      </c>
      <c r="H223">
        <v>52</v>
      </c>
      <c r="I223">
        <v>20514</v>
      </c>
      <c r="J223">
        <v>137</v>
      </c>
      <c r="K223">
        <v>11009</v>
      </c>
      <c r="L223">
        <v>9270</v>
      </c>
      <c r="M223">
        <v>12366</v>
      </c>
      <c r="N223">
        <v>8050</v>
      </c>
      <c r="O223" t="s">
        <v>790</v>
      </c>
      <c r="P223" t="s">
        <v>370</v>
      </c>
      <c r="Q223" s="31">
        <v>44380</v>
      </c>
      <c r="R223" s="31" t="s">
        <v>370</v>
      </c>
      <c r="S223" s="31" t="s">
        <v>790</v>
      </c>
      <c r="T223" s="31">
        <v>3.29E-3</v>
      </c>
      <c r="U223" s="31">
        <v>0.14878</v>
      </c>
      <c r="V223" s="31">
        <v>0.18856999999999999</v>
      </c>
      <c r="W223" s="31">
        <v>0.21743999999999999</v>
      </c>
      <c r="X223" s="31">
        <v>82.351870000000005</v>
      </c>
    </row>
    <row r="224" spans="1:24" x14ac:dyDescent="0.25">
      <c r="A224">
        <v>130</v>
      </c>
      <c r="B224"/>
      <c r="C224">
        <v>6819</v>
      </c>
      <c r="D224">
        <v>1972</v>
      </c>
      <c r="E224"/>
      <c r="F224"/>
      <c r="G224">
        <v>501</v>
      </c>
      <c r="H224">
        <v>529</v>
      </c>
      <c r="I224">
        <v>9951</v>
      </c>
      <c r="J224">
        <v>60</v>
      </c>
      <c r="K224">
        <v>6998</v>
      </c>
      <c r="L224">
        <v>2890</v>
      </c>
      <c r="M224">
        <v>9158</v>
      </c>
      <c r="N224">
        <v>790</v>
      </c>
      <c r="O224" t="s">
        <v>795</v>
      </c>
      <c r="P224" t="s">
        <v>375</v>
      </c>
      <c r="Q224" s="31">
        <v>22515</v>
      </c>
      <c r="R224" s="31" t="s">
        <v>375</v>
      </c>
      <c r="S224" s="31" t="s">
        <v>795</v>
      </c>
      <c r="T224" s="31">
        <v>2.81E-3</v>
      </c>
      <c r="U224" s="31">
        <v>8.7400000000000005E-2</v>
      </c>
      <c r="V224" s="31">
        <v>0.24882000000000001</v>
      </c>
      <c r="W224" s="31">
        <v>0.18729000000000001</v>
      </c>
      <c r="X224" s="31">
        <v>62.571890000000003</v>
      </c>
    </row>
    <row r="225" spans="1:24" x14ac:dyDescent="0.25">
      <c r="A225">
        <v>1039</v>
      </c>
      <c r="B225"/>
      <c r="C225">
        <v>11667</v>
      </c>
      <c r="D225">
        <v>3131</v>
      </c>
      <c r="E225"/>
      <c r="F225"/>
      <c r="G225">
        <v>439</v>
      </c>
      <c r="H225">
        <v>2347</v>
      </c>
      <c r="I225">
        <v>18623</v>
      </c>
      <c r="J225">
        <v>47</v>
      </c>
      <c r="K225">
        <v>10697</v>
      </c>
      <c r="L225">
        <v>7862</v>
      </c>
      <c r="M225">
        <v>14026</v>
      </c>
      <c r="N225">
        <v>4579</v>
      </c>
      <c r="O225" t="s">
        <v>683</v>
      </c>
      <c r="P225" t="s">
        <v>265</v>
      </c>
      <c r="Q225" s="31">
        <v>36890</v>
      </c>
      <c r="R225" s="31" t="s">
        <v>265</v>
      </c>
      <c r="S225" s="31" t="s">
        <v>683</v>
      </c>
      <c r="T225" s="31">
        <v>3.1700000000000001E-3</v>
      </c>
      <c r="U225" s="31">
        <v>8.7290000000000006E-2</v>
      </c>
      <c r="V225" s="31">
        <v>0.18201999999999999</v>
      </c>
      <c r="W225" s="31">
        <v>0.22256999999999999</v>
      </c>
      <c r="X225" s="31">
        <v>90.806569999999994</v>
      </c>
    </row>
    <row r="226" spans="1:24" x14ac:dyDescent="0.25">
      <c r="A226">
        <v>445</v>
      </c>
      <c r="B226"/>
      <c r="C226">
        <v>5121</v>
      </c>
      <c r="D226">
        <v>2070</v>
      </c>
      <c r="E226"/>
      <c r="F226"/>
      <c r="G226">
        <v>505</v>
      </c>
      <c r="H226">
        <v>35</v>
      </c>
      <c r="I226">
        <v>8176</v>
      </c>
      <c r="J226">
        <v>119</v>
      </c>
      <c r="K226">
        <v>5599</v>
      </c>
      <c r="L226">
        <v>2457</v>
      </c>
      <c r="M226">
        <v>7087</v>
      </c>
      <c r="N226">
        <v>1089</v>
      </c>
      <c r="O226" t="s">
        <v>581</v>
      </c>
      <c r="P226" t="s">
        <v>467</v>
      </c>
      <c r="Q226" s="31">
        <v>18390</v>
      </c>
      <c r="R226" s="31" t="s">
        <v>467</v>
      </c>
      <c r="S226" s="31" t="s">
        <v>581</v>
      </c>
      <c r="T226" s="31">
        <v>2.7100000000000002E-3</v>
      </c>
      <c r="U226" s="31">
        <v>0.11408</v>
      </c>
      <c r="V226" s="31">
        <v>0.20351</v>
      </c>
      <c r="W226" s="31">
        <v>0.19386999999999999</v>
      </c>
      <c r="X226" s="31">
        <v>68.072860000000006</v>
      </c>
    </row>
    <row r="227" spans="1:24" x14ac:dyDescent="0.25">
      <c r="A227">
        <v>457</v>
      </c>
      <c r="B227"/>
      <c r="C227">
        <v>8467</v>
      </c>
      <c r="D227">
        <v>3045</v>
      </c>
      <c r="E227"/>
      <c r="F227"/>
      <c r="G227">
        <v>1506</v>
      </c>
      <c r="H227">
        <v>581</v>
      </c>
      <c r="I227">
        <v>14056</v>
      </c>
      <c r="J227">
        <v>36</v>
      </c>
      <c r="K227">
        <v>9853</v>
      </c>
      <c r="L227">
        <v>4102</v>
      </c>
      <c r="M227">
        <v>12700</v>
      </c>
      <c r="N227">
        <v>1291</v>
      </c>
      <c r="O227" t="s">
        <v>874</v>
      </c>
      <c r="P227" t="s">
        <v>502</v>
      </c>
      <c r="Q227" s="31">
        <v>27315</v>
      </c>
      <c r="R227" s="31" t="s">
        <v>502</v>
      </c>
      <c r="S227" s="31" t="s">
        <v>874</v>
      </c>
      <c r="T227" s="31">
        <v>3.3899999999999998E-3</v>
      </c>
      <c r="U227" s="31">
        <v>0.11536</v>
      </c>
      <c r="V227" s="31">
        <v>0.1996</v>
      </c>
      <c r="W227" s="31">
        <v>0.23261000000000001</v>
      </c>
      <c r="X227" s="31">
        <v>84.401809999999998</v>
      </c>
    </row>
    <row r="228" spans="1:24" x14ac:dyDescent="0.25">
      <c r="A228">
        <v>97</v>
      </c>
      <c r="B228"/>
      <c r="C228">
        <v>3843</v>
      </c>
      <c r="D228">
        <v>848</v>
      </c>
      <c r="E228"/>
      <c r="F228"/>
      <c r="G228">
        <v>181</v>
      </c>
      <c r="H228">
        <v>304</v>
      </c>
      <c r="I228">
        <v>5273</v>
      </c>
      <c r="J228">
        <v>35</v>
      </c>
      <c r="K228">
        <v>3876</v>
      </c>
      <c r="L228">
        <v>1342</v>
      </c>
      <c r="M228">
        <v>4745</v>
      </c>
      <c r="N228">
        <v>508</v>
      </c>
      <c r="O228" t="s">
        <v>563</v>
      </c>
      <c r="P228" t="s">
        <v>351</v>
      </c>
      <c r="Q228" s="31">
        <v>12495</v>
      </c>
      <c r="R228" s="31" t="s">
        <v>351</v>
      </c>
      <c r="S228" s="31" t="s">
        <v>563</v>
      </c>
      <c r="T228" s="31">
        <v>2.5400000000000002E-3</v>
      </c>
      <c r="U228" s="31">
        <v>6.9650000000000004E-2</v>
      </c>
      <c r="V228" s="31">
        <v>0.23075999999999999</v>
      </c>
      <c r="W228" s="31">
        <v>0.18751000000000001</v>
      </c>
      <c r="X228" s="31">
        <v>63.509239999999998</v>
      </c>
    </row>
    <row r="229" spans="1:24" x14ac:dyDescent="0.25">
      <c r="A229">
        <v>1670</v>
      </c>
      <c r="B229"/>
      <c r="C229">
        <v>14414</v>
      </c>
      <c r="D229">
        <v>3413</v>
      </c>
      <c r="E229"/>
      <c r="F229"/>
      <c r="G229">
        <v>981</v>
      </c>
      <c r="H229">
        <v>4025</v>
      </c>
      <c r="I229">
        <v>24503</v>
      </c>
      <c r="J229">
        <v>158</v>
      </c>
      <c r="K229">
        <v>14146</v>
      </c>
      <c r="L229">
        <v>10154</v>
      </c>
      <c r="M229">
        <v>16902</v>
      </c>
      <c r="N229">
        <v>7556</v>
      </c>
      <c r="O229" t="s">
        <v>919</v>
      </c>
      <c r="P229" t="s">
        <v>513</v>
      </c>
      <c r="Q229" s="31">
        <v>47605</v>
      </c>
      <c r="R229" s="31" t="s">
        <v>513</v>
      </c>
      <c r="S229" s="31" t="s">
        <v>919</v>
      </c>
      <c r="T229" s="31">
        <v>3.14E-3</v>
      </c>
      <c r="U229" s="31">
        <v>7.3819999999999997E-2</v>
      </c>
      <c r="V229" s="31">
        <v>0.20941000000000001</v>
      </c>
      <c r="W229" s="31">
        <v>0.20949000000000001</v>
      </c>
      <c r="X229" s="31">
        <v>79.645560000000003</v>
      </c>
    </row>
    <row r="230" spans="1:24" x14ac:dyDescent="0.25">
      <c r="A230">
        <v>295</v>
      </c>
      <c r="B230"/>
      <c r="C230">
        <v>4504</v>
      </c>
      <c r="D230">
        <v>1043</v>
      </c>
      <c r="E230"/>
      <c r="F230"/>
      <c r="G230">
        <v>195</v>
      </c>
      <c r="H230"/>
      <c r="I230">
        <v>6037</v>
      </c>
      <c r="J230">
        <v>3</v>
      </c>
      <c r="K230">
        <v>4331</v>
      </c>
      <c r="L230">
        <v>1691</v>
      </c>
      <c r="M230">
        <v>5386</v>
      </c>
      <c r="N230">
        <v>639</v>
      </c>
      <c r="O230" t="s">
        <v>547</v>
      </c>
      <c r="P230" t="s">
        <v>143</v>
      </c>
      <c r="Q230" s="31">
        <v>14400</v>
      </c>
      <c r="R230" s="31" t="s">
        <v>143</v>
      </c>
      <c r="S230" s="31" t="s">
        <v>547</v>
      </c>
      <c r="T230" s="31">
        <v>2.7200000000000002E-3</v>
      </c>
      <c r="U230" s="31">
        <v>7.6649999999999996E-2</v>
      </c>
      <c r="V230" s="31">
        <v>0.30112</v>
      </c>
      <c r="W230" s="31">
        <v>0.18894</v>
      </c>
      <c r="X230" s="31">
        <v>52.653880000000001</v>
      </c>
    </row>
    <row r="231" spans="1:24" x14ac:dyDescent="0.25">
      <c r="A231">
        <v>504</v>
      </c>
      <c r="B231"/>
      <c r="C231">
        <v>6328</v>
      </c>
      <c r="D231">
        <v>1780</v>
      </c>
      <c r="E231"/>
      <c r="F231"/>
      <c r="G231">
        <v>296</v>
      </c>
      <c r="H231">
        <v>493</v>
      </c>
      <c r="I231">
        <v>9401</v>
      </c>
      <c r="J231">
        <v>158</v>
      </c>
      <c r="K231">
        <v>6116</v>
      </c>
      <c r="L231">
        <v>3127</v>
      </c>
      <c r="M231">
        <v>8146</v>
      </c>
      <c r="N231">
        <v>1255</v>
      </c>
      <c r="O231" t="s">
        <v>611</v>
      </c>
      <c r="P231" t="s">
        <v>413</v>
      </c>
      <c r="Q231" s="31">
        <v>21895</v>
      </c>
      <c r="R231" s="31" t="s">
        <v>413</v>
      </c>
      <c r="S231" s="31" t="s">
        <v>611</v>
      </c>
      <c r="T231" s="31">
        <v>2.2300000000000002E-3</v>
      </c>
      <c r="U231" s="31">
        <v>8.8330000000000006E-2</v>
      </c>
      <c r="V231" s="31">
        <v>0.18379000000000001</v>
      </c>
      <c r="W231" s="31">
        <v>0.16550999999999999</v>
      </c>
      <c r="X231" s="31">
        <v>65.65822</v>
      </c>
    </row>
    <row r="232" spans="1:24" x14ac:dyDescent="0.25">
      <c r="A232">
        <v>280</v>
      </c>
      <c r="B232"/>
      <c r="C232">
        <v>3885</v>
      </c>
      <c r="D232">
        <v>1197</v>
      </c>
      <c r="E232"/>
      <c r="F232"/>
      <c r="G232">
        <v>378</v>
      </c>
      <c r="H232"/>
      <c r="I232">
        <v>5740</v>
      </c>
      <c r="J232">
        <v>4</v>
      </c>
      <c r="K232">
        <v>3857</v>
      </c>
      <c r="L232">
        <v>1879</v>
      </c>
      <c r="M232">
        <v>5099</v>
      </c>
      <c r="N232">
        <v>642</v>
      </c>
      <c r="O232" t="s">
        <v>724</v>
      </c>
      <c r="P232" t="s">
        <v>152</v>
      </c>
      <c r="Q232" s="31">
        <v>13610</v>
      </c>
      <c r="R232" s="31" t="s">
        <v>152</v>
      </c>
      <c r="S232" s="31" t="s">
        <v>724</v>
      </c>
      <c r="T232" s="31">
        <v>2.5899999999999999E-3</v>
      </c>
      <c r="U232" s="31">
        <v>9.2340000000000005E-2</v>
      </c>
      <c r="V232" s="31">
        <v>0.23138</v>
      </c>
      <c r="W232" s="31">
        <v>0.18143999999999999</v>
      </c>
      <c r="X232" s="31">
        <v>60.436889999999998</v>
      </c>
    </row>
    <row r="233" spans="1:24" x14ac:dyDescent="0.25">
      <c r="A233">
        <v>370</v>
      </c>
      <c r="B233"/>
      <c r="C233">
        <v>17365</v>
      </c>
      <c r="D233">
        <v>6138</v>
      </c>
      <c r="E233"/>
      <c r="F233"/>
      <c r="G233">
        <v>871</v>
      </c>
      <c r="H233">
        <v>2430</v>
      </c>
      <c r="I233">
        <v>27174</v>
      </c>
      <c r="J233">
        <v>61</v>
      </c>
      <c r="K233">
        <v>17939</v>
      </c>
      <c r="L233">
        <v>9141</v>
      </c>
      <c r="M233">
        <v>22300</v>
      </c>
      <c r="N233">
        <v>4842</v>
      </c>
      <c r="O233" t="s">
        <v>822</v>
      </c>
      <c r="P233" t="s">
        <v>182</v>
      </c>
      <c r="Q233" s="31">
        <v>54670</v>
      </c>
      <c r="R233" s="31" t="s">
        <v>182</v>
      </c>
      <c r="S233" s="31" t="s">
        <v>822</v>
      </c>
      <c r="T233" s="31">
        <v>3.5200000000000001E-3</v>
      </c>
      <c r="U233" s="31">
        <v>0.11539000000000001</v>
      </c>
      <c r="V233" s="31">
        <v>0.20788000000000001</v>
      </c>
      <c r="W233" s="31">
        <v>0.23663999999999999</v>
      </c>
      <c r="X233" s="31">
        <v>88.748919999999998</v>
      </c>
    </row>
    <row r="234" spans="1:24" x14ac:dyDescent="0.25">
      <c r="A234">
        <v>107</v>
      </c>
      <c r="B234"/>
      <c r="C234">
        <v>7762</v>
      </c>
      <c r="D234">
        <v>1791</v>
      </c>
      <c r="E234"/>
      <c r="F234"/>
      <c r="G234">
        <v>460</v>
      </c>
      <c r="H234">
        <v>860</v>
      </c>
      <c r="I234">
        <v>10980</v>
      </c>
      <c r="J234">
        <v>17</v>
      </c>
      <c r="K234">
        <v>7533</v>
      </c>
      <c r="L234">
        <v>3429</v>
      </c>
      <c r="M234">
        <v>10006</v>
      </c>
      <c r="N234">
        <v>974</v>
      </c>
      <c r="O234" t="s">
        <v>865</v>
      </c>
      <c r="P234" t="s">
        <v>497</v>
      </c>
      <c r="Q234" s="31">
        <v>25370</v>
      </c>
      <c r="R234" s="31" t="s">
        <v>497</v>
      </c>
      <c r="S234" s="31" t="s">
        <v>865</v>
      </c>
      <c r="T234" s="31">
        <v>2.5799999999999998E-3</v>
      </c>
      <c r="U234" s="31">
        <v>7.4529999999999999E-2</v>
      </c>
      <c r="V234" s="31">
        <v>0.20065</v>
      </c>
      <c r="W234" s="31">
        <v>0.17929999999999999</v>
      </c>
      <c r="X234" s="31">
        <v>73.412559999999999</v>
      </c>
    </row>
    <row r="235" spans="1:24" x14ac:dyDescent="0.25">
      <c r="A235">
        <v>488</v>
      </c>
      <c r="B235"/>
      <c r="C235">
        <v>6795</v>
      </c>
      <c r="D235">
        <v>2404</v>
      </c>
      <c r="E235"/>
      <c r="F235"/>
      <c r="G235">
        <v>969</v>
      </c>
      <c r="H235">
        <v>652</v>
      </c>
      <c r="I235">
        <v>11308</v>
      </c>
      <c r="J235">
        <v>36</v>
      </c>
      <c r="K235">
        <v>8803</v>
      </c>
      <c r="L235">
        <v>2425</v>
      </c>
      <c r="M235">
        <v>9774</v>
      </c>
      <c r="N235">
        <v>1490</v>
      </c>
      <c r="O235" t="s">
        <v>755</v>
      </c>
      <c r="P235" t="s">
        <v>321</v>
      </c>
      <c r="Q235" s="31">
        <v>21795</v>
      </c>
      <c r="R235" s="31" t="s">
        <v>321</v>
      </c>
      <c r="S235" s="31" t="s">
        <v>755</v>
      </c>
      <c r="T235" s="31">
        <v>3.5799999999999998E-3</v>
      </c>
      <c r="U235" s="31">
        <v>0.11326</v>
      </c>
      <c r="V235" s="31">
        <v>0.29296</v>
      </c>
      <c r="W235" s="31">
        <v>0.24868000000000001</v>
      </c>
      <c r="X235" s="31">
        <v>64.360990000000001</v>
      </c>
    </row>
    <row r="236" spans="1:24" x14ac:dyDescent="0.25">
      <c r="A236">
        <v>2577</v>
      </c>
      <c r="B236"/>
      <c r="C236">
        <v>13105</v>
      </c>
      <c r="D236">
        <v>4041</v>
      </c>
      <c r="E236"/>
      <c r="F236"/>
      <c r="G236">
        <v>358</v>
      </c>
      <c r="H236">
        <v>2949</v>
      </c>
      <c r="I236">
        <v>23030</v>
      </c>
      <c r="J236">
        <v>122</v>
      </c>
      <c r="K236">
        <v>12682</v>
      </c>
      <c r="L236">
        <v>10206</v>
      </c>
      <c r="M236">
        <v>14556</v>
      </c>
      <c r="N236">
        <v>8454</v>
      </c>
      <c r="O236" t="s">
        <v>564</v>
      </c>
      <c r="P236" t="s">
        <v>354</v>
      </c>
      <c r="Q236" s="31">
        <v>44370</v>
      </c>
      <c r="R236" s="31" t="s">
        <v>354</v>
      </c>
      <c r="S236" s="31" t="s">
        <v>564</v>
      </c>
      <c r="T236" s="31">
        <v>3.2200000000000002E-3</v>
      </c>
      <c r="U236" s="31">
        <v>9.4030000000000002E-2</v>
      </c>
      <c r="V236" s="31">
        <v>0.16708999999999999</v>
      </c>
      <c r="W236" s="31">
        <v>0.21987999999999999</v>
      </c>
      <c r="X236" s="31">
        <v>92.382180000000005</v>
      </c>
    </row>
    <row r="237" spans="1:24" x14ac:dyDescent="0.25">
      <c r="A237">
        <v>222</v>
      </c>
      <c r="B237"/>
      <c r="C237">
        <v>3403</v>
      </c>
      <c r="D237">
        <v>745</v>
      </c>
      <c r="E237"/>
      <c r="F237"/>
      <c r="G237">
        <v>202</v>
      </c>
      <c r="H237"/>
      <c r="I237">
        <v>4572</v>
      </c>
      <c r="J237">
        <v>37</v>
      </c>
      <c r="K237">
        <v>2944</v>
      </c>
      <c r="L237">
        <v>1588</v>
      </c>
      <c r="M237">
        <v>4168</v>
      </c>
      <c r="N237">
        <v>401</v>
      </c>
      <c r="O237" t="s">
        <v>888</v>
      </c>
      <c r="P237" t="s">
        <v>299</v>
      </c>
      <c r="Q237" s="31">
        <v>11030</v>
      </c>
      <c r="R237" s="31" t="s">
        <v>299</v>
      </c>
      <c r="S237" s="31" t="s">
        <v>888</v>
      </c>
      <c r="T237" s="31">
        <v>2.63E-3</v>
      </c>
      <c r="U237" s="31">
        <v>6.8540000000000004E-2</v>
      </c>
      <c r="V237" s="31">
        <v>0.26606999999999997</v>
      </c>
      <c r="W237" s="31">
        <v>0.1799</v>
      </c>
      <c r="X237" s="31">
        <v>57.968629999999997</v>
      </c>
    </row>
    <row r="238" spans="1:24" x14ac:dyDescent="0.25">
      <c r="A238">
        <v>1415</v>
      </c>
      <c r="B238"/>
      <c r="C238">
        <v>12456</v>
      </c>
      <c r="D238">
        <v>3445</v>
      </c>
      <c r="E238"/>
      <c r="F238"/>
      <c r="G238">
        <v>1439</v>
      </c>
      <c r="H238">
        <v>62</v>
      </c>
      <c r="I238">
        <v>18817</v>
      </c>
      <c r="J238">
        <v>227</v>
      </c>
      <c r="K238">
        <v>11825</v>
      </c>
      <c r="L238">
        <v>6728</v>
      </c>
      <c r="M238">
        <v>15377</v>
      </c>
      <c r="N238">
        <v>3404</v>
      </c>
      <c r="O238" t="s">
        <v>672</v>
      </c>
      <c r="P238" t="s">
        <v>255</v>
      </c>
      <c r="Q238" s="31">
        <v>42590</v>
      </c>
      <c r="R238" s="31" t="s">
        <v>255</v>
      </c>
      <c r="S238" s="31" t="s">
        <v>672</v>
      </c>
      <c r="T238" s="31">
        <v>2.7799999999999999E-3</v>
      </c>
      <c r="U238" s="31">
        <v>8.2140000000000005E-2</v>
      </c>
      <c r="V238" s="31">
        <v>0.29154000000000002</v>
      </c>
      <c r="W238" s="31">
        <v>0.19534000000000001</v>
      </c>
      <c r="X238" s="31">
        <v>50.868319999999997</v>
      </c>
    </row>
    <row r="239" spans="1:24" x14ac:dyDescent="0.25">
      <c r="A239">
        <v>312</v>
      </c>
      <c r="B239"/>
      <c r="C239">
        <v>8098</v>
      </c>
      <c r="D239">
        <v>4066</v>
      </c>
      <c r="E239"/>
      <c r="F239"/>
      <c r="G239">
        <v>1042</v>
      </c>
      <c r="H239">
        <v>1164</v>
      </c>
      <c r="I239">
        <v>14682</v>
      </c>
      <c r="J239">
        <v>97</v>
      </c>
      <c r="K239">
        <v>10386</v>
      </c>
      <c r="L239">
        <v>4137</v>
      </c>
      <c r="M239">
        <v>13123</v>
      </c>
      <c r="N239">
        <v>1502</v>
      </c>
      <c r="O239" t="s">
        <v>823</v>
      </c>
      <c r="P239" t="s">
        <v>183</v>
      </c>
      <c r="Q239" s="31">
        <v>31920</v>
      </c>
      <c r="R239" s="31" t="s">
        <v>183</v>
      </c>
      <c r="S239" s="31" t="s">
        <v>823</v>
      </c>
      <c r="T239" s="31">
        <v>3.29E-3</v>
      </c>
      <c r="U239" s="31">
        <v>0.12669</v>
      </c>
      <c r="V239" s="31">
        <v>0.20219000000000001</v>
      </c>
      <c r="W239" s="31">
        <v>0.21504999999999999</v>
      </c>
      <c r="X239" s="31">
        <v>75.859979999999993</v>
      </c>
    </row>
    <row r="240" spans="1:24" x14ac:dyDescent="0.25">
      <c r="A240">
        <v>95</v>
      </c>
      <c r="B240"/>
      <c r="C240">
        <v>3077</v>
      </c>
      <c r="D240">
        <v>1394</v>
      </c>
      <c r="E240"/>
      <c r="F240"/>
      <c r="G240">
        <v>265</v>
      </c>
      <c r="H240">
        <v>446</v>
      </c>
      <c r="I240">
        <v>5277</v>
      </c>
      <c r="J240">
        <v>49</v>
      </c>
      <c r="K240">
        <v>3617</v>
      </c>
      <c r="L240">
        <v>1595</v>
      </c>
      <c r="M240">
        <v>4608</v>
      </c>
      <c r="N240">
        <v>653</v>
      </c>
      <c r="O240" t="s">
        <v>896</v>
      </c>
      <c r="P240" t="s">
        <v>460</v>
      </c>
      <c r="Q240" s="31">
        <v>12820</v>
      </c>
      <c r="R240" s="31" t="s">
        <v>460</v>
      </c>
      <c r="S240" s="31" t="s">
        <v>896</v>
      </c>
      <c r="T240" s="31">
        <v>2.4599999999999999E-3</v>
      </c>
      <c r="U240" s="31">
        <v>0.11025</v>
      </c>
      <c r="V240" s="31">
        <v>0.20535</v>
      </c>
      <c r="W240" s="31">
        <v>0.16222</v>
      </c>
      <c r="X240" s="31">
        <v>59.496540000000003</v>
      </c>
    </row>
    <row r="241" spans="1:24" x14ac:dyDescent="0.25">
      <c r="A241">
        <v>392</v>
      </c>
      <c r="B241"/>
      <c r="C241">
        <v>4455</v>
      </c>
      <c r="D241">
        <v>1344</v>
      </c>
      <c r="E241"/>
      <c r="F241"/>
      <c r="G241">
        <v>305</v>
      </c>
      <c r="H241">
        <v>628</v>
      </c>
      <c r="I241">
        <v>7124</v>
      </c>
      <c r="J241">
        <v>11</v>
      </c>
      <c r="K241">
        <v>4937</v>
      </c>
      <c r="L241">
        <v>2176</v>
      </c>
      <c r="M241">
        <v>6079</v>
      </c>
      <c r="N241">
        <v>1045</v>
      </c>
      <c r="O241" t="s">
        <v>762</v>
      </c>
      <c r="P241" t="s">
        <v>328</v>
      </c>
      <c r="Q241" s="31">
        <v>16420</v>
      </c>
      <c r="R241" s="31" t="s">
        <v>328</v>
      </c>
      <c r="S241" s="31" t="s">
        <v>762</v>
      </c>
      <c r="T241" s="31">
        <v>3.14E-3</v>
      </c>
      <c r="U241" s="31">
        <v>9.0029999999999999E-2</v>
      </c>
      <c r="V241" s="31">
        <v>0.26274999999999998</v>
      </c>
      <c r="W241" s="31">
        <v>0.20157</v>
      </c>
      <c r="X241" s="31">
        <v>61.222769999999997</v>
      </c>
    </row>
    <row r="242" spans="1:24" x14ac:dyDescent="0.25">
      <c r="A242">
        <v>97</v>
      </c>
      <c r="B242"/>
      <c r="C242">
        <v>1479</v>
      </c>
      <c r="D242">
        <v>379</v>
      </c>
      <c r="E242"/>
      <c r="F242"/>
      <c r="G242">
        <v>167</v>
      </c>
      <c r="H242">
        <v>156</v>
      </c>
      <c r="I242">
        <v>2278</v>
      </c>
      <c r="J242">
        <v>2</v>
      </c>
      <c r="K242">
        <v>1574</v>
      </c>
      <c r="L242">
        <v>702</v>
      </c>
      <c r="M242">
        <v>1963</v>
      </c>
      <c r="N242">
        <v>315</v>
      </c>
      <c r="O242" t="s">
        <v>776</v>
      </c>
      <c r="P242" t="s">
        <v>448</v>
      </c>
      <c r="Q242" s="31">
        <v>4735</v>
      </c>
      <c r="R242" s="31" t="s">
        <v>448</v>
      </c>
      <c r="S242" s="31" t="s">
        <v>776</v>
      </c>
      <c r="T242" s="31">
        <v>3.9899999999999996E-3</v>
      </c>
      <c r="U242" s="31">
        <v>5.5829999999999998E-2</v>
      </c>
      <c r="V242" s="31">
        <v>0.27614</v>
      </c>
      <c r="W242" s="31">
        <v>0.25972000000000001</v>
      </c>
      <c r="X242" s="31">
        <v>84.991159999999994</v>
      </c>
    </row>
    <row r="243" spans="1:24" x14ac:dyDescent="0.25">
      <c r="A243">
        <v>2539</v>
      </c>
      <c r="B243"/>
      <c r="C243">
        <v>18724</v>
      </c>
      <c r="D243">
        <v>7845</v>
      </c>
      <c r="E243"/>
      <c r="F243"/>
      <c r="G243">
        <v>897</v>
      </c>
      <c r="H243">
        <v>661</v>
      </c>
      <c r="I243">
        <v>30666</v>
      </c>
      <c r="J243">
        <v>6</v>
      </c>
      <c r="K243">
        <v>17485</v>
      </c>
      <c r="L243">
        <v>13156</v>
      </c>
      <c r="M243">
        <v>21555</v>
      </c>
      <c r="N243">
        <v>9091</v>
      </c>
      <c r="O243" t="s">
        <v>566</v>
      </c>
      <c r="P243" t="s">
        <v>358</v>
      </c>
      <c r="Q243" s="31">
        <v>66345</v>
      </c>
      <c r="R243" s="31" t="s">
        <v>358</v>
      </c>
      <c r="S243" s="31" t="s">
        <v>566</v>
      </c>
      <c r="T243" s="31">
        <v>2.8999999999999998E-3</v>
      </c>
      <c r="U243" s="31">
        <v>0.11964</v>
      </c>
      <c r="V243" s="31">
        <v>0.17748</v>
      </c>
      <c r="W243" s="31">
        <v>0.20127999999999999</v>
      </c>
      <c r="X243" s="31">
        <v>82.109949999999998</v>
      </c>
    </row>
    <row r="244" spans="1:24" x14ac:dyDescent="0.25">
      <c r="A244">
        <v>438</v>
      </c>
      <c r="B244"/>
      <c r="C244">
        <v>8544</v>
      </c>
      <c r="D244">
        <v>1761</v>
      </c>
      <c r="E244"/>
      <c r="F244"/>
      <c r="G244">
        <v>216</v>
      </c>
      <c r="H244">
        <v>1623</v>
      </c>
      <c r="I244">
        <v>12582</v>
      </c>
      <c r="J244">
        <v>114</v>
      </c>
      <c r="K244">
        <v>9096</v>
      </c>
      <c r="L244">
        <v>3358</v>
      </c>
      <c r="M244">
        <v>9961</v>
      </c>
      <c r="N244">
        <v>2607</v>
      </c>
      <c r="O244" t="s">
        <v>585</v>
      </c>
      <c r="P244" t="s">
        <v>471</v>
      </c>
      <c r="Q244" s="31">
        <v>28585</v>
      </c>
      <c r="R244" s="31" t="s">
        <v>471</v>
      </c>
      <c r="S244" s="31" t="s">
        <v>585</v>
      </c>
      <c r="T244" s="31">
        <v>2.8E-3</v>
      </c>
      <c r="U244" s="31">
        <v>6.096E-2</v>
      </c>
      <c r="V244" s="31">
        <v>0.27173000000000003</v>
      </c>
      <c r="W244" s="31">
        <v>0.17632</v>
      </c>
      <c r="X244" s="31">
        <v>59.799030000000002</v>
      </c>
    </row>
    <row r="245" spans="1:24" x14ac:dyDescent="0.25">
      <c r="A245">
        <v>104</v>
      </c>
      <c r="B245"/>
      <c r="C245">
        <v>2390</v>
      </c>
      <c r="D245">
        <v>854</v>
      </c>
      <c r="E245"/>
      <c r="F245"/>
      <c r="G245">
        <v>331</v>
      </c>
      <c r="H245">
        <v>365</v>
      </c>
      <c r="I245">
        <v>4044</v>
      </c>
      <c r="J245">
        <v>81</v>
      </c>
      <c r="K245">
        <v>3067</v>
      </c>
      <c r="L245">
        <v>896</v>
      </c>
      <c r="M245">
        <v>3504</v>
      </c>
      <c r="N245">
        <v>540</v>
      </c>
      <c r="O245" t="s">
        <v>575</v>
      </c>
      <c r="P245" t="s">
        <v>359</v>
      </c>
      <c r="Q245" s="31">
        <v>10075</v>
      </c>
      <c r="R245" s="31" t="s">
        <v>359</v>
      </c>
      <c r="S245" s="31" t="s">
        <v>575</v>
      </c>
      <c r="T245" s="31">
        <v>2.5699999999999998E-3</v>
      </c>
      <c r="U245" s="31">
        <v>9.529E-2</v>
      </c>
      <c r="V245" s="31">
        <v>0.21351999999999999</v>
      </c>
      <c r="W245" s="31">
        <v>0.17388000000000001</v>
      </c>
      <c r="X245" s="31">
        <v>58.994050000000001</v>
      </c>
    </row>
    <row r="246" spans="1:24" x14ac:dyDescent="0.25">
      <c r="A246">
        <v>577</v>
      </c>
      <c r="B246"/>
      <c r="C246">
        <v>8413</v>
      </c>
      <c r="D246">
        <v>2256</v>
      </c>
      <c r="E246"/>
      <c r="F246"/>
      <c r="G246">
        <v>210</v>
      </c>
      <c r="H246">
        <v>927</v>
      </c>
      <c r="I246">
        <v>12383</v>
      </c>
      <c r="J246">
        <v>25</v>
      </c>
      <c r="K246">
        <v>8326</v>
      </c>
      <c r="L246">
        <v>4007</v>
      </c>
      <c r="M246">
        <v>10457</v>
      </c>
      <c r="N246">
        <v>1901</v>
      </c>
      <c r="O246" t="s">
        <v>555</v>
      </c>
      <c r="P246" t="s">
        <v>149</v>
      </c>
      <c r="Q246" s="31">
        <v>28075</v>
      </c>
      <c r="R246" s="31" t="s">
        <v>149</v>
      </c>
      <c r="S246" s="31" t="s">
        <v>555</v>
      </c>
      <c r="T246" s="31">
        <v>2.9299999999999999E-3</v>
      </c>
      <c r="U246" s="31">
        <v>7.9289999999999999E-2</v>
      </c>
      <c r="V246" s="31">
        <v>0.22908999999999999</v>
      </c>
      <c r="W246" s="31">
        <v>0.20383000000000001</v>
      </c>
      <c r="X246" s="31">
        <v>70.792779999999993</v>
      </c>
    </row>
    <row r="247" spans="1:24" x14ac:dyDescent="0.25">
      <c r="A247">
        <v>606</v>
      </c>
      <c r="B247"/>
      <c r="C247">
        <v>8225</v>
      </c>
      <c r="D247">
        <v>2437</v>
      </c>
      <c r="E247"/>
      <c r="F247"/>
      <c r="G247">
        <v>251</v>
      </c>
      <c r="H247">
        <v>2398</v>
      </c>
      <c r="I247">
        <v>13917</v>
      </c>
      <c r="J247">
        <v>177</v>
      </c>
      <c r="K247">
        <v>8315</v>
      </c>
      <c r="L247">
        <v>5425</v>
      </c>
      <c r="M247">
        <v>9947</v>
      </c>
      <c r="N247">
        <v>3970</v>
      </c>
      <c r="O247" t="s">
        <v>729</v>
      </c>
      <c r="P247" t="s">
        <v>157</v>
      </c>
      <c r="Q247" s="31">
        <v>30275</v>
      </c>
      <c r="R247" s="31" t="s">
        <v>157</v>
      </c>
      <c r="S247" s="31" t="s">
        <v>729</v>
      </c>
      <c r="T247" s="31">
        <v>2.7200000000000002E-3</v>
      </c>
      <c r="U247" s="31">
        <v>8.5809999999999997E-2</v>
      </c>
      <c r="V247" s="31">
        <v>0.19694</v>
      </c>
      <c r="W247" s="31">
        <v>0.20246</v>
      </c>
      <c r="X247" s="31">
        <v>69.115499999999997</v>
      </c>
    </row>
    <row r="248" spans="1:24" x14ac:dyDescent="0.25">
      <c r="A248">
        <v>9027</v>
      </c>
      <c r="B248"/>
      <c r="C248">
        <v>45455</v>
      </c>
      <c r="D248">
        <v>26656</v>
      </c>
      <c r="E248"/>
      <c r="F248"/>
      <c r="G248">
        <v>1537</v>
      </c>
      <c r="H248">
        <v>2330</v>
      </c>
      <c r="I248">
        <v>85005</v>
      </c>
      <c r="J248">
        <v>121</v>
      </c>
      <c r="K248">
        <v>45472</v>
      </c>
      <c r="L248">
        <v>39382</v>
      </c>
      <c r="M248">
        <v>52158</v>
      </c>
      <c r="N248">
        <v>32817</v>
      </c>
      <c r="O248" t="s">
        <v>722</v>
      </c>
      <c r="P248" t="s">
        <v>483</v>
      </c>
      <c r="Q248" s="31">
        <v>179525</v>
      </c>
      <c r="R248" s="31" t="s">
        <v>483</v>
      </c>
      <c r="S248" s="31" t="s">
        <v>722</v>
      </c>
      <c r="T248" s="31">
        <v>2.5899999999999999E-3</v>
      </c>
      <c r="U248" s="31">
        <v>0.15124000000000001</v>
      </c>
      <c r="V248" s="31">
        <v>0.17241999999999999</v>
      </c>
      <c r="W248" s="31">
        <v>0.17351</v>
      </c>
      <c r="X248" s="31">
        <v>68.515500000000003</v>
      </c>
    </row>
    <row r="249" spans="1:24" x14ac:dyDescent="0.25">
      <c r="A249">
        <v>449</v>
      </c>
      <c r="B249"/>
      <c r="C249">
        <v>8637</v>
      </c>
      <c r="D249">
        <v>3094</v>
      </c>
      <c r="E249"/>
      <c r="F249"/>
      <c r="G249">
        <v>692</v>
      </c>
      <c r="H249">
        <v>1353</v>
      </c>
      <c r="I249">
        <v>14225</v>
      </c>
      <c r="J249">
        <v>160</v>
      </c>
      <c r="K249">
        <v>9288</v>
      </c>
      <c r="L249">
        <v>4777</v>
      </c>
      <c r="M249">
        <v>12248</v>
      </c>
      <c r="N249">
        <v>1977</v>
      </c>
      <c r="O249" t="s">
        <v>696</v>
      </c>
      <c r="P249" t="s">
        <v>278</v>
      </c>
      <c r="Q249" s="31">
        <v>31630</v>
      </c>
      <c r="R249" s="31" t="s">
        <v>278</v>
      </c>
      <c r="S249" s="31" t="s">
        <v>696</v>
      </c>
      <c r="T249" s="31">
        <v>3.2100000000000002E-3</v>
      </c>
      <c r="U249" s="31">
        <v>0.10904</v>
      </c>
      <c r="V249" s="31">
        <v>0.21657999999999999</v>
      </c>
      <c r="W249" s="31">
        <v>0.19766</v>
      </c>
      <c r="X249" s="31">
        <v>74.571569999999994</v>
      </c>
    </row>
    <row r="250" spans="1:24" x14ac:dyDescent="0.25">
      <c r="A250">
        <v>318</v>
      </c>
      <c r="B250"/>
      <c r="C250">
        <v>3836</v>
      </c>
      <c r="D250">
        <v>1286</v>
      </c>
      <c r="E250"/>
      <c r="F250"/>
      <c r="G250">
        <v>97</v>
      </c>
      <c r="H250">
        <v>270</v>
      </c>
      <c r="I250">
        <v>5807</v>
      </c>
      <c r="J250">
        <v>1</v>
      </c>
      <c r="K250">
        <v>3663</v>
      </c>
      <c r="L250">
        <v>2143</v>
      </c>
      <c r="M250">
        <v>5111</v>
      </c>
      <c r="N250">
        <v>696</v>
      </c>
      <c r="O250" t="s">
        <v>669</v>
      </c>
      <c r="P250" t="s">
        <v>500</v>
      </c>
      <c r="Q250" s="31">
        <v>12690</v>
      </c>
      <c r="R250" s="31" t="s">
        <v>500</v>
      </c>
      <c r="S250" s="31" t="s">
        <v>669</v>
      </c>
      <c r="T250" s="31">
        <v>3.0400000000000002E-3</v>
      </c>
      <c r="U250" s="31">
        <v>0.10375</v>
      </c>
      <c r="V250" s="31">
        <v>0.15132000000000001</v>
      </c>
      <c r="W250" s="31">
        <v>0.20734</v>
      </c>
      <c r="X250" s="31">
        <v>106.87419</v>
      </c>
    </row>
    <row r="251" spans="1:24" x14ac:dyDescent="0.25">
      <c r="A251">
        <v>226</v>
      </c>
      <c r="B251"/>
      <c r="C251">
        <v>7733</v>
      </c>
      <c r="D251">
        <v>1381</v>
      </c>
      <c r="E251"/>
      <c r="F251"/>
      <c r="G251">
        <v>509</v>
      </c>
      <c r="H251">
        <v>1217</v>
      </c>
      <c r="I251">
        <v>11066</v>
      </c>
      <c r="J251">
        <v>3</v>
      </c>
      <c r="K251">
        <v>7615</v>
      </c>
      <c r="L251">
        <v>3397</v>
      </c>
      <c r="M251">
        <v>9327</v>
      </c>
      <c r="N251">
        <v>1688</v>
      </c>
      <c r="O251" t="s">
        <v>819</v>
      </c>
      <c r="P251" t="s">
        <v>179</v>
      </c>
      <c r="Q251" s="31">
        <v>25325</v>
      </c>
      <c r="R251" s="31" t="s">
        <v>179</v>
      </c>
      <c r="S251" s="31" t="s">
        <v>819</v>
      </c>
      <c r="T251" s="31">
        <v>2.7399999999999998E-3</v>
      </c>
      <c r="U251" s="31">
        <v>5.3019999999999998E-2</v>
      </c>
      <c r="V251" s="31">
        <v>0.23555000000000001</v>
      </c>
      <c r="W251" s="31">
        <v>0.19683</v>
      </c>
      <c r="X251" s="31">
        <v>69.054249999999996</v>
      </c>
    </row>
    <row r="252" spans="1:24" x14ac:dyDescent="0.25">
      <c r="A252">
        <v>411</v>
      </c>
      <c r="B252"/>
      <c r="C252">
        <v>5067</v>
      </c>
      <c r="D252">
        <v>1946</v>
      </c>
      <c r="E252"/>
      <c r="F252"/>
      <c r="G252">
        <v>345</v>
      </c>
      <c r="H252">
        <v>507</v>
      </c>
      <c r="I252">
        <v>8276</v>
      </c>
      <c r="J252">
        <v>83</v>
      </c>
      <c r="K252">
        <v>5963</v>
      </c>
      <c r="L252">
        <v>2114</v>
      </c>
      <c r="M252">
        <v>6833</v>
      </c>
      <c r="N252">
        <v>1426</v>
      </c>
      <c r="O252" t="s">
        <v>673</v>
      </c>
      <c r="P252" t="s">
        <v>256</v>
      </c>
      <c r="Q252" s="31">
        <v>18135</v>
      </c>
      <c r="R252" s="31" t="s">
        <v>256</v>
      </c>
      <c r="S252" s="31" t="s">
        <v>673</v>
      </c>
      <c r="T252" s="31">
        <v>3.3899999999999998E-3</v>
      </c>
      <c r="U252" s="31">
        <v>0.10821</v>
      </c>
      <c r="V252" s="31">
        <v>0.23807</v>
      </c>
      <c r="W252" s="31">
        <v>0.20952999999999999</v>
      </c>
      <c r="X252" s="31">
        <v>72.057770000000005</v>
      </c>
    </row>
    <row r="253" spans="1:24" x14ac:dyDescent="0.25">
      <c r="A253">
        <v>13898</v>
      </c>
      <c r="B253"/>
      <c r="C253">
        <v>61957</v>
      </c>
      <c r="D253">
        <v>30729</v>
      </c>
      <c r="E253"/>
      <c r="F253"/>
      <c r="G253">
        <v>826</v>
      </c>
      <c r="H253">
        <v>1277</v>
      </c>
      <c r="I253">
        <v>108687</v>
      </c>
      <c r="J253">
        <v>887</v>
      </c>
      <c r="K253">
        <v>48359</v>
      </c>
      <c r="L253">
        <v>58918</v>
      </c>
      <c r="M253">
        <v>68755</v>
      </c>
      <c r="N253">
        <v>39507</v>
      </c>
      <c r="O253" t="s">
        <v>796</v>
      </c>
      <c r="P253" t="s">
        <v>376</v>
      </c>
      <c r="Q253" s="31">
        <v>220690</v>
      </c>
      <c r="R253" s="31" t="s">
        <v>376</v>
      </c>
      <c r="S253" s="31" t="s">
        <v>796</v>
      </c>
      <c r="T253" s="31">
        <v>2.63E-3</v>
      </c>
      <c r="U253" s="31">
        <v>0.14363000000000001</v>
      </c>
      <c r="V253" s="31">
        <v>0.16644</v>
      </c>
      <c r="W253" s="31">
        <v>0.16583000000000001</v>
      </c>
      <c r="X253" s="31">
        <v>75.005939999999995</v>
      </c>
    </row>
    <row r="254" spans="1:24" x14ac:dyDescent="0.25">
      <c r="A254">
        <v>458</v>
      </c>
      <c r="B254"/>
      <c r="C254">
        <v>13572</v>
      </c>
      <c r="D254">
        <v>2558</v>
      </c>
      <c r="E254"/>
      <c r="F254"/>
      <c r="G254">
        <v>385</v>
      </c>
      <c r="H254">
        <v>2177</v>
      </c>
      <c r="I254">
        <v>19150</v>
      </c>
      <c r="J254">
        <v>21</v>
      </c>
      <c r="K254">
        <v>11990</v>
      </c>
      <c r="L254">
        <v>7131</v>
      </c>
      <c r="M254">
        <v>15491</v>
      </c>
      <c r="N254">
        <v>3654</v>
      </c>
      <c r="O254" t="s">
        <v>884</v>
      </c>
      <c r="P254" t="s">
        <v>295</v>
      </c>
      <c r="Q254" s="31">
        <v>42260</v>
      </c>
      <c r="R254" s="31" t="s">
        <v>295</v>
      </c>
      <c r="S254" s="31" t="s">
        <v>884</v>
      </c>
      <c r="T254" s="31">
        <v>2.6700000000000001E-3</v>
      </c>
      <c r="U254" s="31">
        <v>6.08E-2</v>
      </c>
      <c r="V254" s="31">
        <v>0.23332</v>
      </c>
      <c r="W254" s="31">
        <v>0.18726999999999999</v>
      </c>
      <c r="X254" s="31">
        <v>66.331270000000004</v>
      </c>
    </row>
    <row r="255" spans="1:24" x14ac:dyDescent="0.25">
      <c r="A255">
        <v>420</v>
      </c>
      <c r="B255"/>
      <c r="C255">
        <v>6949</v>
      </c>
      <c r="D255">
        <v>1091</v>
      </c>
      <c r="E255"/>
      <c r="F255"/>
      <c r="G255">
        <v>218</v>
      </c>
      <c r="H255">
        <v>1204</v>
      </c>
      <c r="I255">
        <v>9882</v>
      </c>
      <c r="J255">
        <v>15</v>
      </c>
      <c r="K255">
        <v>5877</v>
      </c>
      <c r="L255">
        <v>3860</v>
      </c>
      <c r="M255">
        <v>7912</v>
      </c>
      <c r="N255">
        <v>1960</v>
      </c>
      <c r="O255" t="s">
        <v>923</v>
      </c>
      <c r="P255" t="s">
        <v>517</v>
      </c>
      <c r="Q255" s="31">
        <v>21555</v>
      </c>
      <c r="R255" s="31" t="s">
        <v>517</v>
      </c>
      <c r="S255" s="31" t="s">
        <v>923</v>
      </c>
      <c r="T255" s="31">
        <v>2.6099999999999999E-3</v>
      </c>
      <c r="U255" s="31">
        <v>4.9619999999999997E-2</v>
      </c>
      <c r="V255" s="31">
        <v>0.21862999999999999</v>
      </c>
      <c r="W255" s="31">
        <v>0.19367000000000001</v>
      </c>
      <c r="X255" s="31">
        <v>69.416259999999994</v>
      </c>
    </row>
    <row r="256" spans="1:24" x14ac:dyDescent="0.25">
      <c r="A256">
        <v>305</v>
      </c>
      <c r="B256"/>
      <c r="C256">
        <v>7988</v>
      </c>
      <c r="D256">
        <v>1755</v>
      </c>
      <c r="E256"/>
      <c r="F256"/>
      <c r="G256">
        <v>725</v>
      </c>
      <c r="H256">
        <v>1228</v>
      </c>
      <c r="I256">
        <v>12001</v>
      </c>
      <c r="J256">
        <v>258</v>
      </c>
      <c r="K256">
        <v>7201</v>
      </c>
      <c r="L256">
        <v>4542</v>
      </c>
      <c r="M256">
        <v>10267</v>
      </c>
      <c r="N256">
        <v>1734</v>
      </c>
      <c r="O256" t="s">
        <v>759</v>
      </c>
      <c r="P256" t="s">
        <v>325</v>
      </c>
      <c r="Q256" s="31">
        <v>26045</v>
      </c>
      <c r="R256" s="31" t="s">
        <v>325</v>
      </c>
      <c r="S256" s="31" t="s">
        <v>759</v>
      </c>
      <c r="T256" s="31">
        <v>2.7799999999999999E-3</v>
      </c>
      <c r="U256" s="31">
        <v>6.8870000000000001E-2</v>
      </c>
      <c r="V256" s="31">
        <v>0.23302999999999999</v>
      </c>
      <c r="W256" s="31">
        <v>0.19417000000000001</v>
      </c>
      <c r="X256" s="31">
        <v>66.269480000000001</v>
      </c>
    </row>
    <row r="257" spans="1:24" x14ac:dyDescent="0.25">
      <c r="A257">
        <v>170</v>
      </c>
      <c r="B257"/>
      <c r="C257">
        <v>7199</v>
      </c>
      <c r="D257">
        <v>1271</v>
      </c>
      <c r="E257"/>
      <c r="F257"/>
      <c r="G257">
        <v>218</v>
      </c>
      <c r="H257">
        <v>1327</v>
      </c>
      <c r="I257">
        <v>10185</v>
      </c>
      <c r="J257">
        <v>35</v>
      </c>
      <c r="K257">
        <v>7068</v>
      </c>
      <c r="L257">
        <v>3082</v>
      </c>
      <c r="M257">
        <v>8450</v>
      </c>
      <c r="N257">
        <v>1735</v>
      </c>
      <c r="O257" t="s">
        <v>805</v>
      </c>
      <c r="P257" t="s">
        <v>385</v>
      </c>
      <c r="Q257" s="31">
        <v>23150</v>
      </c>
      <c r="R257" s="31" t="s">
        <v>385</v>
      </c>
      <c r="S257" s="31" t="s">
        <v>805</v>
      </c>
      <c r="T257" s="31">
        <v>3.0200000000000001E-3</v>
      </c>
      <c r="U257" s="31">
        <v>6.0229999999999999E-2</v>
      </c>
      <c r="V257" s="31">
        <v>0.24414</v>
      </c>
      <c r="W257" s="31">
        <v>0.21007000000000001</v>
      </c>
      <c r="X257" s="31">
        <v>72.323520000000002</v>
      </c>
    </row>
    <row r="258" spans="1:24" x14ac:dyDescent="0.25">
      <c r="A258">
        <v>254</v>
      </c>
      <c r="B258"/>
      <c r="C258">
        <v>3878</v>
      </c>
      <c r="D258">
        <v>720</v>
      </c>
      <c r="E258"/>
      <c r="F258"/>
      <c r="G258">
        <v>158</v>
      </c>
      <c r="H258">
        <v>619</v>
      </c>
      <c r="I258">
        <v>5629</v>
      </c>
      <c r="J258">
        <v>18</v>
      </c>
      <c r="K258">
        <v>3484</v>
      </c>
      <c r="L258">
        <v>1966</v>
      </c>
      <c r="M258">
        <v>4569</v>
      </c>
      <c r="N258">
        <v>899</v>
      </c>
      <c r="O258" t="s">
        <v>850</v>
      </c>
      <c r="P258" t="s">
        <v>422</v>
      </c>
      <c r="Q258" s="31">
        <v>12675</v>
      </c>
      <c r="R258" s="31" t="s">
        <v>422</v>
      </c>
      <c r="S258" s="31" t="s">
        <v>850</v>
      </c>
      <c r="T258" s="31">
        <v>2.66E-3</v>
      </c>
      <c r="U258" s="31">
        <v>7.7929999999999999E-2</v>
      </c>
      <c r="V258" s="31">
        <v>0.19261</v>
      </c>
      <c r="W258" s="31">
        <v>0.19616</v>
      </c>
      <c r="X258" s="31">
        <v>77.149870000000007</v>
      </c>
    </row>
    <row r="259" spans="1:24" x14ac:dyDescent="0.25">
      <c r="A259">
        <v>197</v>
      </c>
      <c r="B259"/>
      <c r="C259">
        <v>3671</v>
      </c>
      <c r="D259">
        <v>1040</v>
      </c>
      <c r="E259"/>
      <c r="F259"/>
      <c r="G259">
        <v>505</v>
      </c>
      <c r="H259">
        <v>176</v>
      </c>
      <c r="I259">
        <v>5589</v>
      </c>
      <c r="J259">
        <v>26</v>
      </c>
      <c r="K259">
        <v>4090</v>
      </c>
      <c r="L259">
        <v>1284</v>
      </c>
      <c r="M259">
        <v>4918</v>
      </c>
      <c r="N259">
        <v>482</v>
      </c>
      <c r="O259" t="s">
        <v>641</v>
      </c>
      <c r="P259" t="s">
        <v>227</v>
      </c>
      <c r="Q259" s="31">
        <v>13555</v>
      </c>
      <c r="R259" s="31" t="s">
        <v>227</v>
      </c>
      <c r="S259" s="31" t="s">
        <v>641</v>
      </c>
      <c r="T259" s="31">
        <v>2.9499999999999999E-3</v>
      </c>
      <c r="U259" s="31">
        <v>7.7399999999999997E-2</v>
      </c>
      <c r="V259" s="31">
        <v>0.22783</v>
      </c>
      <c r="W259" s="31">
        <v>0.21046000000000001</v>
      </c>
      <c r="X259" s="31">
        <v>71.388930000000002</v>
      </c>
    </row>
    <row r="260" spans="1:24" x14ac:dyDescent="0.25">
      <c r="A260">
        <v>5747</v>
      </c>
      <c r="B260"/>
      <c r="C260">
        <v>26640</v>
      </c>
      <c r="D260">
        <v>8530</v>
      </c>
      <c r="E260"/>
      <c r="F260"/>
      <c r="G260">
        <v>552</v>
      </c>
      <c r="H260">
        <v>327</v>
      </c>
      <c r="I260">
        <v>41796</v>
      </c>
      <c r="J260">
        <v>113</v>
      </c>
      <c r="K260">
        <v>21749</v>
      </c>
      <c r="L260">
        <v>19906</v>
      </c>
      <c r="M260">
        <v>30837</v>
      </c>
      <c r="N260">
        <v>10931</v>
      </c>
      <c r="O260" t="s">
        <v>589</v>
      </c>
      <c r="P260" t="s">
        <v>391</v>
      </c>
      <c r="Q260" s="31">
        <v>89170</v>
      </c>
      <c r="R260" s="31" t="s">
        <v>391</v>
      </c>
      <c r="S260" s="31" t="s">
        <v>589</v>
      </c>
      <c r="T260" s="31">
        <v>2.4499999999999999E-3</v>
      </c>
      <c r="U260" s="31">
        <v>0.10170999999999999</v>
      </c>
      <c r="V260" s="31">
        <v>0.18145</v>
      </c>
      <c r="W260" s="31">
        <v>0.16123000000000001</v>
      </c>
      <c r="X260" s="31">
        <v>69.298389999999998</v>
      </c>
    </row>
    <row r="261" spans="1:24" x14ac:dyDescent="0.25">
      <c r="A261">
        <v>8287</v>
      </c>
      <c r="B261"/>
      <c r="C261">
        <v>38510</v>
      </c>
      <c r="D261">
        <v>20915</v>
      </c>
      <c r="E261"/>
      <c r="F261"/>
      <c r="G261">
        <v>1778</v>
      </c>
      <c r="H261">
        <v>2630</v>
      </c>
      <c r="I261">
        <v>72120</v>
      </c>
      <c r="J261">
        <v>393</v>
      </c>
      <c r="K261">
        <v>37027</v>
      </c>
      <c r="L261">
        <v>34476</v>
      </c>
      <c r="M261">
        <v>44875</v>
      </c>
      <c r="N261">
        <v>27022</v>
      </c>
      <c r="O261" t="s">
        <v>897</v>
      </c>
      <c r="P261" t="s">
        <v>461</v>
      </c>
      <c r="Q261" s="31">
        <v>150215</v>
      </c>
      <c r="R261" s="31" t="s">
        <v>936</v>
      </c>
      <c r="S261" s="31" t="s">
        <v>897</v>
      </c>
      <c r="T261" s="31">
        <v>2.4599999999999999E-3</v>
      </c>
      <c r="U261" s="31">
        <v>0.14063000000000001</v>
      </c>
      <c r="V261" s="31">
        <v>0.17</v>
      </c>
      <c r="W261" s="31">
        <v>0.16707</v>
      </c>
      <c r="X261" s="31">
        <v>65.618849999999995</v>
      </c>
    </row>
    <row r="262" spans="1:24" x14ac:dyDescent="0.25">
      <c r="A262">
        <v>469</v>
      </c>
      <c r="B262"/>
      <c r="C262">
        <v>13531</v>
      </c>
      <c r="D262">
        <v>2900</v>
      </c>
      <c r="E262"/>
      <c r="F262"/>
      <c r="G262">
        <v>500</v>
      </c>
      <c r="H262">
        <v>2192</v>
      </c>
      <c r="I262">
        <v>19592</v>
      </c>
      <c r="J262">
        <v>212</v>
      </c>
      <c r="K262">
        <v>12349</v>
      </c>
      <c r="L262">
        <v>7030</v>
      </c>
      <c r="M262">
        <v>16327</v>
      </c>
      <c r="N262">
        <v>3265</v>
      </c>
      <c r="O262" t="s">
        <v>619</v>
      </c>
      <c r="P262" t="s">
        <v>212</v>
      </c>
      <c r="Q262" s="31">
        <v>43155</v>
      </c>
      <c r="R262" s="31" t="s">
        <v>212</v>
      </c>
      <c r="S262" s="31" t="s">
        <v>619</v>
      </c>
      <c r="T262" s="31">
        <v>2.8400000000000001E-3</v>
      </c>
      <c r="U262" s="31">
        <v>6.9489999999999996E-2</v>
      </c>
      <c r="V262" s="31">
        <v>0.25067</v>
      </c>
      <c r="W262" s="31">
        <v>0.19095000000000001</v>
      </c>
      <c r="X262" s="31">
        <v>63.172420000000002</v>
      </c>
    </row>
    <row r="263" spans="1:24" x14ac:dyDescent="0.25">
      <c r="A263">
        <v>158</v>
      </c>
      <c r="B263"/>
      <c r="C263">
        <v>4190</v>
      </c>
      <c r="D263">
        <v>1403</v>
      </c>
      <c r="E263"/>
      <c r="F263"/>
      <c r="G263">
        <v>348</v>
      </c>
      <c r="H263">
        <v>445</v>
      </c>
      <c r="I263">
        <v>6544</v>
      </c>
      <c r="J263">
        <v>6</v>
      </c>
      <c r="K263">
        <v>4894</v>
      </c>
      <c r="L263">
        <v>1644</v>
      </c>
      <c r="M263">
        <v>5914</v>
      </c>
      <c r="N263">
        <v>630</v>
      </c>
      <c r="O263" t="s">
        <v>826</v>
      </c>
      <c r="P263" t="s">
        <v>397</v>
      </c>
      <c r="Q263" s="31">
        <v>15075</v>
      </c>
      <c r="R263" s="31" t="s">
        <v>397</v>
      </c>
      <c r="S263" s="31" t="s">
        <v>826</v>
      </c>
      <c r="T263" s="31">
        <v>3.1099999999999999E-3</v>
      </c>
      <c r="U263" s="31">
        <v>9.2259999999999995E-2</v>
      </c>
      <c r="V263" s="31">
        <v>0.27054</v>
      </c>
      <c r="W263" s="31">
        <v>0.20549000000000001</v>
      </c>
      <c r="X263" s="31">
        <v>59.788849999999996</v>
      </c>
    </row>
    <row r="264" spans="1:24" x14ac:dyDescent="0.25">
      <c r="A264">
        <v>243</v>
      </c>
      <c r="B264"/>
      <c r="C264">
        <v>7011</v>
      </c>
      <c r="D264">
        <v>1576</v>
      </c>
      <c r="E264"/>
      <c r="F264"/>
      <c r="G264">
        <v>198</v>
      </c>
      <c r="H264">
        <v>1408</v>
      </c>
      <c r="I264">
        <v>10436</v>
      </c>
      <c r="J264">
        <v>9</v>
      </c>
      <c r="K264">
        <v>6345</v>
      </c>
      <c r="L264">
        <v>4073</v>
      </c>
      <c r="M264">
        <v>8528</v>
      </c>
      <c r="N264">
        <v>1898</v>
      </c>
      <c r="O264" t="s">
        <v>898</v>
      </c>
      <c r="P264" t="s">
        <v>462</v>
      </c>
      <c r="Q264" s="31">
        <v>23025</v>
      </c>
      <c r="R264" s="31" t="s">
        <v>462</v>
      </c>
      <c r="S264" s="31" t="s">
        <v>898</v>
      </c>
      <c r="T264" s="31">
        <v>3.1199999999999999E-3</v>
      </c>
      <c r="U264" s="31">
        <v>7.46E-2</v>
      </c>
      <c r="V264" s="31">
        <v>0.22413</v>
      </c>
      <c r="W264" s="31">
        <v>0.20995</v>
      </c>
      <c r="X264" s="31">
        <v>76.464259999999996</v>
      </c>
    </row>
    <row r="265" spans="1:24" x14ac:dyDescent="0.25">
      <c r="A265">
        <v>230</v>
      </c>
      <c r="B265"/>
      <c r="C265">
        <v>2887</v>
      </c>
      <c r="D265">
        <v>1128</v>
      </c>
      <c r="E265"/>
      <c r="F265"/>
      <c r="G265">
        <v>318</v>
      </c>
      <c r="H265">
        <v>154</v>
      </c>
      <c r="I265">
        <v>4717</v>
      </c>
      <c r="J265">
        <v>71</v>
      </c>
      <c r="K265">
        <v>3392</v>
      </c>
      <c r="L265">
        <v>1241</v>
      </c>
      <c r="M265">
        <v>4128</v>
      </c>
      <c r="N265">
        <v>576</v>
      </c>
      <c r="O265" t="s">
        <v>662</v>
      </c>
      <c r="P265" t="s">
        <v>248</v>
      </c>
      <c r="Q265" s="31">
        <v>10815</v>
      </c>
      <c r="R265" s="31" t="s">
        <v>248</v>
      </c>
      <c r="S265" s="31" t="s">
        <v>662</v>
      </c>
      <c r="T265" s="31">
        <v>2.7100000000000002E-3</v>
      </c>
      <c r="U265" s="31">
        <v>0.10281</v>
      </c>
      <c r="V265" s="31">
        <v>0.18473000000000001</v>
      </c>
      <c r="W265" s="31">
        <v>0.20313000000000001</v>
      </c>
      <c r="X265" s="31">
        <v>73.465729999999994</v>
      </c>
    </row>
    <row r="266" spans="1:24" x14ac:dyDescent="0.25">
      <c r="A266">
        <v>509</v>
      </c>
      <c r="B266"/>
      <c r="C266">
        <v>7331</v>
      </c>
      <c r="D266">
        <v>2108</v>
      </c>
      <c r="E266"/>
      <c r="F266"/>
      <c r="G266">
        <v>178</v>
      </c>
      <c r="H266">
        <v>948</v>
      </c>
      <c r="I266">
        <v>11074</v>
      </c>
      <c r="J266">
        <v>2</v>
      </c>
      <c r="K266">
        <v>7811</v>
      </c>
      <c r="L266">
        <v>3261</v>
      </c>
      <c r="M266">
        <v>9444</v>
      </c>
      <c r="N266">
        <v>1630</v>
      </c>
      <c r="O266" t="s">
        <v>744</v>
      </c>
      <c r="P266" t="s">
        <v>314</v>
      </c>
      <c r="Q266" s="31">
        <v>22605</v>
      </c>
      <c r="R266" s="31" t="s">
        <v>314</v>
      </c>
      <c r="S266" s="31" t="s">
        <v>744</v>
      </c>
      <c r="T266" s="31">
        <v>3.5300000000000002E-3</v>
      </c>
      <c r="U266" s="31">
        <v>9.0300000000000005E-2</v>
      </c>
      <c r="V266" s="31">
        <v>0.32834000000000002</v>
      </c>
      <c r="W266" s="31">
        <v>0.24364</v>
      </c>
      <c r="X266" s="31">
        <v>58.872390000000003</v>
      </c>
    </row>
    <row r="267" spans="1:24" x14ac:dyDescent="0.25">
      <c r="A267">
        <v>264</v>
      </c>
      <c r="B267"/>
      <c r="C267">
        <v>4861</v>
      </c>
      <c r="D267">
        <v>1413</v>
      </c>
      <c r="E267"/>
      <c r="F267"/>
      <c r="G267">
        <v>279</v>
      </c>
      <c r="H267">
        <v>619</v>
      </c>
      <c r="I267">
        <v>7436</v>
      </c>
      <c r="J267">
        <v>5</v>
      </c>
      <c r="K267">
        <v>5598</v>
      </c>
      <c r="L267">
        <v>1834</v>
      </c>
      <c r="M267">
        <v>6428</v>
      </c>
      <c r="N267">
        <v>1008</v>
      </c>
      <c r="O267" t="s">
        <v>745</v>
      </c>
      <c r="P267" t="s">
        <v>315</v>
      </c>
      <c r="Q267" s="31">
        <v>17950</v>
      </c>
      <c r="R267" s="31" t="s">
        <v>315</v>
      </c>
      <c r="S267" s="31" t="s">
        <v>745</v>
      </c>
      <c r="T267" s="31">
        <v>2.8300000000000001E-3</v>
      </c>
      <c r="U267" s="31">
        <v>8.1659999999999996E-2</v>
      </c>
      <c r="V267" s="31">
        <v>0.24257000000000001</v>
      </c>
      <c r="W267" s="31">
        <v>0.19853000000000001</v>
      </c>
      <c r="X267" s="31">
        <v>62.703690000000002</v>
      </c>
    </row>
    <row r="268" spans="1:24" x14ac:dyDescent="0.25">
      <c r="A268">
        <v>366</v>
      </c>
      <c r="B268"/>
      <c r="C268">
        <v>7700</v>
      </c>
      <c r="D268">
        <v>1916</v>
      </c>
      <c r="E268"/>
      <c r="F268"/>
      <c r="G268">
        <v>347</v>
      </c>
      <c r="H268">
        <v>1554</v>
      </c>
      <c r="I268">
        <v>11883</v>
      </c>
      <c r="J268">
        <v>111</v>
      </c>
      <c r="K268">
        <v>7689</v>
      </c>
      <c r="L268">
        <v>4083</v>
      </c>
      <c r="M268">
        <v>9460</v>
      </c>
      <c r="N268">
        <v>2424</v>
      </c>
      <c r="O268" t="s">
        <v>770</v>
      </c>
      <c r="P268" t="s">
        <v>336</v>
      </c>
      <c r="Q268" s="31">
        <v>25770</v>
      </c>
      <c r="R268" s="31" t="s">
        <v>336</v>
      </c>
      <c r="S268" s="31" t="s">
        <v>770</v>
      </c>
      <c r="T268" s="31">
        <v>3.3999999999999998E-3</v>
      </c>
      <c r="U268" s="31">
        <v>7.5380000000000003E-2</v>
      </c>
      <c r="V268" s="31">
        <v>0.26247999999999999</v>
      </c>
      <c r="W268" s="31">
        <v>0.22631999999999999</v>
      </c>
      <c r="X268" s="31">
        <v>70.640479999999997</v>
      </c>
    </row>
    <row r="269" spans="1:24" x14ac:dyDescent="0.25">
      <c r="A269">
        <v>1371</v>
      </c>
      <c r="B269"/>
      <c r="C269">
        <v>16073</v>
      </c>
      <c r="D269">
        <v>4359</v>
      </c>
      <c r="E269"/>
      <c r="F269"/>
      <c r="G269">
        <v>407</v>
      </c>
      <c r="H269">
        <v>3173</v>
      </c>
      <c r="I269">
        <v>25383</v>
      </c>
      <c r="J269">
        <v>181</v>
      </c>
      <c r="K269">
        <v>14741</v>
      </c>
      <c r="L269">
        <v>10337</v>
      </c>
      <c r="M269">
        <v>18580</v>
      </c>
      <c r="N269">
        <v>6687</v>
      </c>
      <c r="O269" t="s">
        <v>726</v>
      </c>
      <c r="P269" t="s">
        <v>154</v>
      </c>
      <c r="Q269" s="31">
        <v>53625</v>
      </c>
      <c r="R269" s="31" t="s">
        <v>154</v>
      </c>
      <c r="S269" s="31" t="s">
        <v>726</v>
      </c>
      <c r="T269" s="31">
        <v>3.1099999999999999E-3</v>
      </c>
      <c r="U269" s="31">
        <v>8.5860000000000006E-2</v>
      </c>
      <c r="V269" s="31">
        <v>0.22317000000000001</v>
      </c>
      <c r="W269" s="31">
        <v>0.21021000000000001</v>
      </c>
      <c r="X269" s="31">
        <v>74.311890000000005</v>
      </c>
    </row>
    <row r="270" spans="1:24" x14ac:dyDescent="0.25">
      <c r="A270">
        <v>3260</v>
      </c>
      <c r="B270"/>
      <c r="C270">
        <v>26172</v>
      </c>
      <c r="D270">
        <v>8961</v>
      </c>
      <c r="E270"/>
      <c r="F270"/>
      <c r="G270">
        <v>567</v>
      </c>
      <c r="H270">
        <v>1231</v>
      </c>
      <c r="I270">
        <v>40191</v>
      </c>
      <c r="J270">
        <v>63</v>
      </c>
      <c r="K270">
        <v>25245</v>
      </c>
      <c r="L270">
        <v>14772</v>
      </c>
      <c r="M270">
        <v>31542</v>
      </c>
      <c r="N270">
        <v>8538</v>
      </c>
      <c r="O270" t="s">
        <v>692</v>
      </c>
      <c r="P270" t="s">
        <v>274</v>
      </c>
      <c r="Q270" s="31">
        <v>89150</v>
      </c>
      <c r="R270" s="31" t="s">
        <v>274</v>
      </c>
      <c r="S270" s="31" t="s">
        <v>692</v>
      </c>
      <c r="T270" s="31">
        <v>2.7699999999999999E-3</v>
      </c>
      <c r="U270" s="31">
        <v>0.10156999999999999</v>
      </c>
      <c r="V270" s="31">
        <v>0.1976</v>
      </c>
      <c r="W270" s="31">
        <v>0.18582000000000001</v>
      </c>
      <c r="X270" s="31">
        <v>73.682810000000003</v>
      </c>
    </row>
    <row r="271" spans="1:24" x14ac:dyDescent="0.25">
      <c r="A271">
        <v>229</v>
      </c>
      <c r="B271"/>
      <c r="C271">
        <v>6438</v>
      </c>
      <c r="D271">
        <v>2244</v>
      </c>
      <c r="E271"/>
      <c r="F271"/>
      <c r="G271">
        <v>512</v>
      </c>
      <c r="H271">
        <v>337</v>
      </c>
      <c r="I271">
        <v>9760</v>
      </c>
      <c r="J271">
        <v>121</v>
      </c>
      <c r="K271">
        <v>6459</v>
      </c>
      <c r="L271">
        <v>3180</v>
      </c>
      <c r="M271">
        <v>8994</v>
      </c>
      <c r="N271">
        <v>766</v>
      </c>
      <c r="O271" t="s">
        <v>614</v>
      </c>
      <c r="P271" t="s">
        <v>207</v>
      </c>
      <c r="Q271" s="31">
        <v>22150</v>
      </c>
      <c r="R271" s="31" t="s">
        <v>207</v>
      </c>
      <c r="S271" s="31" t="s">
        <v>614</v>
      </c>
      <c r="T271" s="31">
        <v>2.97E-3</v>
      </c>
      <c r="U271" s="31">
        <v>0.10238999999999999</v>
      </c>
      <c r="V271" s="31">
        <v>0.17845</v>
      </c>
      <c r="W271" s="31">
        <v>0.21093999999999999</v>
      </c>
      <c r="X271" s="31">
        <v>89.641540000000006</v>
      </c>
    </row>
    <row r="272" spans="1:24" x14ac:dyDescent="0.25">
      <c r="A272">
        <v>187</v>
      </c>
      <c r="B272"/>
      <c r="C272">
        <v>7058</v>
      </c>
      <c r="D272">
        <v>1193</v>
      </c>
      <c r="E272"/>
      <c r="F272"/>
      <c r="G272">
        <v>337</v>
      </c>
      <c r="H272">
        <v>1227</v>
      </c>
      <c r="I272">
        <v>10002</v>
      </c>
      <c r="J272">
        <v>100</v>
      </c>
      <c r="K272">
        <v>6679</v>
      </c>
      <c r="L272">
        <v>3218</v>
      </c>
      <c r="M272">
        <v>8313</v>
      </c>
      <c r="N272">
        <v>1684</v>
      </c>
      <c r="O272" t="s">
        <v>642</v>
      </c>
      <c r="P272" t="s">
        <v>228</v>
      </c>
      <c r="Q272" s="31">
        <v>23295</v>
      </c>
      <c r="R272" s="31" t="s">
        <v>228</v>
      </c>
      <c r="S272" s="31" t="s">
        <v>642</v>
      </c>
      <c r="T272" s="31">
        <v>2.8300000000000001E-3</v>
      </c>
      <c r="U272" s="31">
        <v>5.2609999999999997E-2</v>
      </c>
      <c r="V272" s="31">
        <v>0.23547000000000001</v>
      </c>
      <c r="W272" s="31">
        <v>0.19250999999999999</v>
      </c>
      <c r="X272" s="31">
        <v>71.478350000000006</v>
      </c>
    </row>
    <row r="273" spans="1:24" x14ac:dyDescent="0.25">
      <c r="A273">
        <v>399</v>
      </c>
      <c r="B273"/>
      <c r="C273">
        <v>8460</v>
      </c>
      <c r="D273">
        <v>2079</v>
      </c>
      <c r="E273"/>
      <c r="F273"/>
      <c r="G273">
        <v>547</v>
      </c>
      <c r="H273">
        <v>675</v>
      </c>
      <c r="I273">
        <v>12160</v>
      </c>
      <c r="J273">
        <v>46</v>
      </c>
      <c r="K273">
        <v>9144</v>
      </c>
      <c r="L273">
        <v>2970</v>
      </c>
      <c r="M273">
        <v>10869</v>
      </c>
      <c r="N273">
        <v>1291</v>
      </c>
      <c r="O273" t="s">
        <v>643</v>
      </c>
      <c r="P273" t="s">
        <v>229</v>
      </c>
      <c r="Q273" s="31">
        <v>28080</v>
      </c>
      <c r="R273" s="31" t="s">
        <v>229</v>
      </c>
      <c r="S273" s="31" t="s">
        <v>643</v>
      </c>
      <c r="T273" s="31">
        <v>3.3400000000000001E-3</v>
      </c>
      <c r="U273" s="31">
        <v>7.7950000000000005E-2</v>
      </c>
      <c r="V273" s="31">
        <v>0.27616000000000002</v>
      </c>
      <c r="W273" s="31">
        <v>0.20593</v>
      </c>
      <c r="X273" s="31">
        <v>67.943029999999993</v>
      </c>
    </row>
    <row r="274" spans="1:24" x14ac:dyDescent="0.25">
      <c r="A274">
        <v>500</v>
      </c>
      <c r="B274"/>
      <c r="C274">
        <v>5022</v>
      </c>
      <c r="D274">
        <v>1465</v>
      </c>
      <c r="E274"/>
      <c r="F274"/>
      <c r="G274">
        <v>588</v>
      </c>
      <c r="H274">
        <v>699</v>
      </c>
      <c r="I274">
        <v>8274</v>
      </c>
      <c r="J274">
        <v>6</v>
      </c>
      <c r="K274">
        <v>5985</v>
      </c>
      <c r="L274">
        <v>2283</v>
      </c>
      <c r="M274">
        <v>6954</v>
      </c>
      <c r="N274">
        <v>1320</v>
      </c>
      <c r="O274" t="s">
        <v>733</v>
      </c>
      <c r="P274" t="s">
        <v>303</v>
      </c>
      <c r="Q274" s="31">
        <v>17890</v>
      </c>
      <c r="R274" s="31" t="s">
        <v>303</v>
      </c>
      <c r="S274" s="31" t="s">
        <v>733</v>
      </c>
      <c r="T274" s="31">
        <v>2.96E-3</v>
      </c>
      <c r="U274" s="31">
        <v>7.986E-2</v>
      </c>
      <c r="V274" s="31">
        <v>0.27113999999999999</v>
      </c>
      <c r="W274" s="31">
        <v>0.20435</v>
      </c>
      <c r="X274" s="31">
        <v>59.045349999999999</v>
      </c>
    </row>
    <row r="275" spans="1:24" x14ac:dyDescent="0.25">
      <c r="A275">
        <v>350</v>
      </c>
      <c r="B275"/>
      <c r="C275">
        <v>4831</v>
      </c>
      <c r="D275">
        <v>1892</v>
      </c>
      <c r="E275"/>
      <c r="F275"/>
      <c r="G275">
        <v>374</v>
      </c>
      <c r="H275">
        <v>791</v>
      </c>
      <c r="I275">
        <v>8238</v>
      </c>
      <c r="J275">
        <v>50</v>
      </c>
      <c r="K275">
        <v>5460</v>
      </c>
      <c r="L275">
        <v>2728</v>
      </c>
      <c r="M275">
        <v>6984</v>
      </c>
      <c r="N275">
        <v>1254</v>
      </c>
      <c r="O275" t="s">
        <v>860</v>
      </c>
      <c r="P275" t="s">
        <v>441</v>
      </c>
      <c r="Q275" s="31">
        <v>18660</v>
      </c>
      <c r="R275" s="31" t="s">
        <v>441</v>
      </c>
      <c r="S275" s="31" t="s">
        <v>860</v>
      </c>
      <c r="T275" s="31">
        <v>3.0400000000000002E-3</v>
      </c>
      <c r="U275" s="31">
        <v>0.11360000000000001</v>
      </c>
      <c r="V275" s="31">
        <v>0.22625000000000001</v>
      </c>
      <c r="W275" s="31">
        <v>0.18817</v>
      </c>
      <c r="X275" s="31">
        <v>65.391990000000007</v>
      </c>
    </row>
    <row r="276" spans="1:24" x14ac:dyDescent="0.25">
      <c r="A276">
        <v>231</v>
      </c>
      <c r="B276"/>
      <c r="C276">
        <v>5363</v>
      </c>
      <c r="D276">
        <v>944</v>
      </c>
      <c r="E276"/>
      <c r="F276"/>
      <c r="G276">
        <v>141</v>
      </c>
      <c r="H276">
        <v>490</v>
      </c>
      <c r="I276">
        <v>7169</v>
      </c>
      <c r="J276">
        <v>0</v>
      </c>
      <c r="K276">
        <v>5140</v>
      </c>
      <c r="L276">
        <v>2029</v>
      </c>
      <c r="M276">
        <v>6370</v>
      </c>
      <c r="N276">
        <v>799</v>
      </c>
      <c r="O276" t="s">
        <v>908</v>
      </c>
      <c r="P276" t="s">
        <v>447</v>
      </c>
      <c r="Q276" s="31">
        <v>16220</v>
      </c>
      <c r="R276" s="31" t="s">
        <v>447</v>
      </c>
      <c r="S276" s="31" t="s">
        <v>908</v>
      </c>
      <c r="T276" s="31">
        <v>3.5599999999999998E-3</v>
      </c>
      <c r="U276" s="31">
        <v>6.003E-2</v>
      </c>
      <c r="V276" s="31">
        <v>0.31403999999999999</v>
      </c>
      <c r="W276" s="31">
        <v>0.22575000000000001</v>
      </c>
      <c r="X276" s="31">
        <v>68.029219999999995</v>
      </c>
    </row>
    <row r="277" spans="1:24" x14ac:dyDescent="0.25">
      <c r="A277">
        <v>388</v>
      </c>
      <c r="B277"/>
      <c r="C277">
        <v>7119</v>
      </c>
      <c r="D277">
        <v>1578</v>
      </c>
      <c r="E277"/>
      <c r="F277"/>
      <c r="G277">
        <v>484</v>
      </c>
      <c r="H277">
        <v>723</v>
      </c>
      <c r="I277">
        <v>10292</v>
      </c>
      <c r="J277">
        <v>4</v>
      </c>
      <c r="K277">
        <v>6796</v>
      </c>
      <c r="L277">
        <v>3476</v>
      </c>
      <c r="M277">
        <v>8937</v>
      </c>
      <c r="N277">
        <v>1339</v>
      </c>
      <c r="O277" t="s">
        <v>678</v>
      </c>
      <c r="P277" t="s">
        <v>260</v>
      </c>
      <c r="Q277" s="31">
        <v>23345</v>
      </c>
      <c r="R277" s="31" t="s">
        <v>260</v>
      </c>
      <c r="S277" s="31" t="s">
        <v>678</v>
      </c>
      <c r="T277" s="31">
        <v>2.81E-3</v>
      </c>
      <c r="U277" s="31">
        <v>6.9180000000000005E-2</v>
      </c>
      <c r="V277" s="31">
        <v>0.20193</v>
      </c>
      <c r="W277" s="31">
        <v>0.20701</v>
      </c>
      <c r="X277" s="31">
        <v>77.077830000000006</v>
      </c>
    </row>
    <row r="278" spans="1:24" x14ac:dyDescent="0.25">
      <c r="A278">
        <v>629</v>
      </c>
      <c r="B278"/>
      <c r="C278">
        <v>5501</v>
      </c>
      <c r="D278">
        <v>1043</v>
      </c>
      <c r="E278"/>
      <c r="F278"/>
      <c r="G278">
        <v>166</v>
      </c>
      <c r="H278"/>
      <c r="I278">
        <v>7339</v>
      </c>
      <c r="J278">
        <v>67</v>
      </c>
      <c r="K278">
        <v>4795</v>
      </c>
      <c r="L278">
        <v>2439</v>
      </c>
      <c r="M278">
        <v>6275</v>
      </c>
      <c r="N278">
        <v>1027</v>
      </c>
      <c r="O278" t="s">
        <v>553</v>
      </c>
      <c r="P278" t="s">
        <v>147</v>
      </c>
      <c r="Q278" s="31">
        <v>17100</v>
      </c>
      <c r="R278" s="31" t="s">
        <v>147</v>
      </c>
      <c r="S278" s="31" t="s">
        <v>553</v>
      </c>
      <c r="T278" s="31">
        <v>3.3500000000000001E-3</v>
      </c>
      <c r="U278" s="31">
        <v>6.1499999999999999E-2</v>
      </c>
      <c r="V278" s="31">
        <v>0.32185000000000002</v>
      </c>
      <c r="W278" s="31">
        <v>0.22445999999999999</v>
      </c>
      <c r="X278" s="31">
        <v>61.403469999999999</v>
      </c>
    </row>
    <row r="279" spans="1:24" x14ac:dyDescent="0.25">
      <c r="A279">
        <v>8589</v>
      </c>
      <c r="B279"/>
      <c r="C279">
        <v>56304</v>
      </c>
      <c r="D279">
        <v>30703</v>
      </c>
      <c r="E279"/>
      <c r="F279"/>
      <c r="G279">
        <v>1186</v>
      </c>
      <c r="H279">
        <v>2170</v>
      </c>
      <c r="I279">
        <v>98952</v>
      </c>
      <c r="J279">
        <v>675</v>
      </c>
      <c r="K279">
        <v>53989</v>
      </c>
      <c r="L279">
        <v>44250</v>
      </c>
      <c r="M279">
        <v>64485</v>
      </c>
      <c r="N279">
        <v>34433</v>
      </c>
      <c r="O279" t="s">
        <v>649</v>
      </c>
      <c r="P279" t="s">
        <v>235</v>
      </c>
      <c r="Q279" s="31">
        <v>210030</v>
      </c>
      <c r="R279" s="31" t="s">
        <v>235</v>
      </c>
      <c r="S279" s="31" t="s">
        <v>649</v>
      </c>
      <c r="T279" s="31">
        <v>2.3900000000000002E-3</v>
      </c>
      <c r="U279" s="31">
        <v>0.15074000000000001</v>
      </c>
      <c r="V279" s="31">
        <v>0.15789</v>
      </c>
      <c r="W279" s="31">
        <v>0.15886</v>
      </c>
      <c r="X279" s="31">
        <v>72.152299999999997</v>
      </c>
    </row>
    <row r="280" spans="1:24" x14ac:dyDescent="0.25">
      <c r="A280">
        <v>871</v>
      </c>
      <c r="B280"/>
      <c r="C280">
        <v>11610</v>
      </c>
      <c r="D280">
        <v>3767</v>
      </c>
      <c r="E280"/>
      <c r="F280"/>
      <c r="G280">
        <v>641</v>
      </c>
      <c r="H280">
        <v>3132</v>
      </c>
      <c r="I280">
        <v>20021</v>
      </c>
      <c r="J280">
        <v>237</v>
      </c>
      <c r="K280">
        <v>12390</v>
      </c>
      <c r="L280">
        <v>7249</v>
      </c>
      <c r="M280">
        <v>14799</v>
      </c>
      <c r="N280">
        <v>5077</v>
      </c>
      <c r="O280" t="s">
        <v>687</v>
      </c>
      <c r="P280" t="s">
        <v>269</v>
      </c>
      <c r="Q280" s="31">
        <v>40850</v>
      </c>
      <c r="R280" s="31" t="s">
        <v>269</v>
      </c>
      <c r="S280" s="31" t="s">
        <v>687</v>
      </c>
      <c r="T280" s="31">
        <v>3.0400000000000002E-3</v>
      </c>
      <c r="U280" s="31">
        <v>9.6030000000000004E-2</v>
      </c>
      <c r="V280" s="31">
        <v>0.22003</v>
      </c>
      <c r="W280" s="31">
        <v>0.19652</v>
      </c>
      <c r="X280" s="31">
        <v>68.368719999999996</v>
      </c>
    </row>
    <row r="281" spans="1:24" x14ac:dyDescent="0.25">
      <c r="A281">
        <v>709</v>
      </c>
      <c r="B281"/>
      <c r="C281">
        <v>9447</v>
      </c>
      <c r="D281">
        <v>2196</v>
      </c>
      <c r="E281"/>
      <c r="F281"/>
      <c r="G281">
        <v>294</v>
      </c>
      <c r="H281">
        <v>2264</v>
      </c>
      <c r="I281">
        <v>14910</v>
      </c>
      <c r="J281">
        <v>104</v>
      </c>
      <c r="K281">
        <v>8898</v>
      </c>
      <c r="L281">
        <v>5890</v>
      </c>
      <c r="M281">
        <v>11198</v>
      </c>
      <c r="N281">
        <v>3694</v>
      </c>
      <c r="O281" t="s">
        <v>827</v>
      </c>
      <c r="P281" t="s">
        <v>398</v>
      </c>
      <c r="Q281" s="31">
        <v>30290</v>
      </c>
      <c r="R281" s="31" t="s">
        <v>398</v>
      </c>
      <c r="S281" s="31" t="s">
        <v>827</v>
      </c>
      <c r="T281" s="31">
        <v>3.65E-3</v>
      </c>
      <c r="U281" s="31">
        <v>7.1550000000000002E-2</v>
      </c>
      <c r="V281" s="31">
        <v>0.24349000000000001</v>
      </c>
      <c r="W281" s="31">
        <v>0.24102999999999999</v>
      </c>
      <c r="X281" s="31">
        <v>82.384280000000004</v>
      </c>
    </row>
    <row r="282" spans="1:24" x14ac:dyDescent="0.25">
      <c r="A282">
        <v>381</v>
      </c>
      <c r="B282"/>
      <c r="C282">
        <v>11015</v>
      </c>
      <c r="D282">
        <v>2560</v>
      </c>
      <c r="E282"/>
      <c r="F282"/>
      <c r="G282">
        <v>455</v>
      </c>
      <c r="H282">
        <v>1899</v>
      </c>
      <c r="I282">
        <v>16310</v>
      </c>
      <c r="J282">
        <v>108</v>
      </c>
      <c r="K282">
        <v>11474</v>
      </c>
      <c r="L282">
        <v>4707</v>
      </c>
      <c r="M282">
        <v>13402</v>
      </c>
      <c r="N282">
        <v>2887</v>
      </c>
      <c r="O282" t="s">
        <v>781</v>
      </c>
      <c r="P282" t="s">
        <v>345</v>
      </c>
      <c r="Q282" s="31">
        <v>37405</v>
      </c>
      <c r="R282" s="31" t="s">
        <v>345</v>
      </c>
      <c r="S282" s="31" t="s">
        <v>781</v>
      </c>
      <c r="T282" s="31">
        <v>2.6800000000000001E-3</v>
      </c>
      <c r="U282" s="31">
        <v>6.7510000000000001E-2</v>
      </c>
      <c r="V282" s="31">
        <v>0.24002999999999999</v>
      </c>
      <c r="W282" s="31">
        <v>0.17798</v>
      </c>
      <c r="X282" s="31">
        <v>62.127850000000002</v>
      </c>
    </row>
    <row r="283" spans="1:24" x14ac:dyDescent="0.25">
      <c r="A283">
        <v>824</v>
      </c>
      <c r="B283"/>
      <c r="C283">
        <v>13024</v>
      </c>
      <c r="D283">
        <v>3516</v>
      </c>
      <c r="E283"/>
      <c r="F283"/>
      <c r="G283">
        <v>391</v>
      </c>
      <c r="H283">
        <v>2398</v>
      </c>
      <c r="I283">
        <v>20153</v>
      </c>
      <c r="J283">
        <v>47</v>
      </c>
      <c r="K283">
        <v>13389</v>
      </c>
      <c r="L283">
        <v>6717</v>
      </c>
      <c r="M283">
        <v>15966</v>
      </c>
      <c r="N283">
        <v>4187</v>
      </c>
      <c r="O283" t="s">
        <v>863</v>
      </c>
      <c r="P283" t="s">
        <v>444</v>
      </c>
      <c r="Q283" s="31">
        <v>44120</v>
      </c>
      <c r="R283" s="31" t="s">
        <v>444</v>
      </c>
      <c r="S283" s="31" t="s">
        <v>863</v>
      </c>
      <c r="T283" s="31">
        <v>3.0599999999999998E-3</v>
      </c>
      <c r="U283" s="31">
        <v>8.4900000000000003E-2</v>
      </c>
      <c r="V283" s="31">
        <v>0.22614000000000001</v>
      </c>
      <c r="W283" s="31">
        <v>0.20304</v>
      </c>
      <c r="X283" s="31">
        <v>71.87791</v>
      </c>
    </row>
    <row r="284" spans="1:24" x14ac:dyDescent="0.25">
      <c r="A284">
        <v>527</v>
      </c>
      <c r="B284"/>
      <c r="C284">
        <v>7827</v>
      </c>
      <c r="D284">
        <v>1613</v>
      </c>
      <c r="E284"/>
      <c r="F284"/>
      <c r="G284">
        <v>316</v>
      </c>
      <c r="H284">
        <v>1594</v>
      </c>
      <c r="I284">
        <v>11877</v>
      </c>
      <c r="J284">
        <v>69</v>
      </c>
      <c r="K284">
        <v>6847</v>
      </c>
      <c r="L284">
        <v>4946</v>
      </c>
      <c r="M284">
        <v>9094</v>
      </c>
      <c r="N284">
        <v>2767</v>
      </c>
      <c r="O284" t="s">
        <v>686</v>
      </c>
      <c r="P284" t="s">
        <v>268</v>
      </c>
      <c r="Q284" s="31">
        <v>25610</v>
      </c>
      <c r="R284" s="31" t="s">
        <v>268</v>
      </c>
      <c r="S284" s="31" t="s">
        <v>686</v>
      </c>
      <c r="T284" s="31">
        <v>2.8500000000000001E-3</v>
      </c>
      <c r="U284" s="31">
        <v>7.3209999999999997E-2</v>
      </c>
      <c r="V284" s="31">
        <v>0.21396999999999999</v>
      </c>
      <c r="W284" s="31">
        <v>0.20194000000000001</v>
      </c>
      <c r="X284" s="31">
        <v>72.234350000000006</v>
      </c>
    </row>
    <row r="285" spans="1:24" x14ac:dyDescent="0.25">
      <c r="A285">
        <v>166</v>
      </c>
      <c r="B285"/>
      <c r="C285">
        <v>5452</v>
      </c>
      <c r="D285">
        <v>957</v>
      </c>
      <c r="E285"/>
      <c r="F285"/>
      <c r="G285">
        <v>134</v>
      </c>
      <c r="H285">
        <v>973</v>
      </c>
      <c r="I285">
        <v>7682</v>
      </c>
      <c r="J285">
        <v>20</v>
      </c>
      <c r="K285">
        <v>5740</v>
      </c>
      <c r="L285">
        <v>1923</v>
      </c>
      <c r="M285">
        <v>6476</v>
      </c>
      <c r="N285">
        <v>1206</v>
      </c>
      <c r="O285" t="s">
        <v>700</v>
      </c>
      <c r="P285" t="s">
        <v>282</v>
      </c>
      <c r="Q285" s="31">
        <v>16760</v>
      </c>
      <c r="R285" s="31" t="s">
        <v>282</v>
      </c>
      <c r="S285" s="31" t="s">
        <v>700</v>
      </c>
      <c r="T285" s="31">
        <v>3.63E-3</v>
      </c>
      <c r="U285" s="31">
        <v>6.6170000000000007E-2</v>
      </c>
      <c r="V285" s="31">
        <v>0.34540999999999999</v>
      </c>
      <c r="W285" s="31">
        <v>0.23286000000000001</v>
      </c>
      <c r="X285" s="31">
        <v>63.111669999999997</v>
      </c>
    </row>
    <row r="286" spans="1:24" x14ac:dyDescent="0.25">
      <c r="A286">
        <v>1106</v>
      </c>
      <c r="B286"/>
      <c r="C286">
        <v>14105</v>
      </c>
      <c r="D286">
        <v>3596</v>
      </c>
      <c r="E286"/>
      <c r="F286"/>
      <c r="G286">
        <v>505</v>
      </c>
      <c r="H286">
        <v>2806</v>
      </c>
      <c r="I286">
        <v>22118</v>
      </c>
      <c r="J286">
        <v>110</v>
      </c>
      <c r="K286">
        <v>12458</v>
      </c>
      <c r="L286">
        <v>9495</v>
      </c>
      <c r="M286">
        <v>16801</v>
      </c>
      <c r="N286">
        <v>5262</v>
      </c>
      <c r="O286" t="s">
        <v>600</v>
      </c>
      <c r="P286" t="s">
        <v>195</v>
      </c>
      <c r="Q286" s="31">
        <v>46445</v>
      </c>
      <c r="R286" s="31" t="s">
        <v>195</v>
      </c>
      <c r="S286" s="31" t="s">
        <v>600</v>
      </c>
      <c r="T286" s="31">
        <v>2.98E-3</v>
      </c>
      <c r="U286" s="31">
        <v>8.2400000000000001E-2</v>
      </c>
      <c r="V286" s="31">
        <v>0.2097</v>
      </c>
      <c r="W286" s="31">
        <v>0.20152999999999999</v>
      </c>
      <c r="X286" s="31">
        <v>75.396659999999997</v>
      </c>
    </row>
    <row r="287" spans="1:24" x14ac:dyDescent="0.25">
      <c r="A287">
        <v>207</v>
      </c>
      <c r="B287"/>
      <c r="C287">
        <v>7745</v>
      </c>
      <c r="D287">
        <v>1712</v>
      </c>
      <c r="E287"/>
      <c r="F287"/>
      <c r="G287">
        <v>344</v>
      </c>
      <c r="H287">
        <v>691</v>
      </c>
      <c r="I287">
        <v>10699</v>
      </c>
      <c r="J287">
        <v>21</v>
      </c>
      <c r="K287">
        <v>6844</v>
      </c>
      <c r="L287">
        <v>3701</v>
      </c>
      <c r="M287">
        <v>9586</v>
      </c>
      <c r="N287">
        <v>980</v>
      </c>
      <c r="O287" t="s">
        <v>561</v>
      </c>
      <c r="P287" t="s">
        <v>349</v>
      </c>
      <c r="Q287" s="31">
        <v>26335</v>
      </c>
      <c r="R287" s="31" t="s">
        <v>349</v>
      </c>
      <c r="S287" s="31" t="s">
        <v>561</v>
      </c>
      <c r="T287" s="31">
        <v>2.8600000000000001E-3</v>
      </c>
      <c r="U287" s="31">
        <v>6.615E-2</v>
      </c>
      <c r="V287" s="31">
        <v>0.26238</v>
      </c>
      <c r="W287" s="31">
        <v>0.18815000000000001</v>
      </c>
      <c r="X287" s="31">
        <v>63.048279999999998</v>
      </c>
    </row>
    <row r="288" spans="1:24" x14ac:dyDescent="0.25">
      <c r="A288">
        <v>223</v>
      </c>
      <c r="B288"/>
      <c r="C288">
        <v>6838</v>
      </c>
      <c r="D288">
        <v>1872</v>
      </c>
      <c r="E288"/>
      <c r="F288"/>
      <c r="G288">
        <v>312</v>
      </c>
      <c r="H288">
        <v>570</v>
      </c>
      <c r="I288">
        <v>9815</v>
      </c>
      <c r="J288">
        <v>7</v>
      </c>
      <c r="K288">
        <v>7033</v>
      </c>
      <c r="L288">
        <v>2756</v>
      </c>
      <c r="M288">
        <v>8863</v>
      </c>
      <c r="N288">
        <v>939</v>
      </c>
      <c r="O288" t="s">
        <v>833</v>
      </c>
      <c r="P288" t="s">
        <v>404</v>
      </c>
      <c r="Q288" s="31">
        <v>21595</v>
      </c>
      <c r="R288" s="31" t="s">
        <v>404</v>
      </c>
      <c r="S288" s="31" t="s">
        <v>833</v>
      </c>
      <c r="T288" s="31">
        <v>3.4199999999999999E-3</v>
      </c>
      <c r="U288" s="31">
        <v>8.8700000000000001E-2</v>
      </c>
      <c r="V288" s="31">
        <v>0.26033000000000001</v>
      </c>
      <c r="W288" s="31">
        <v>0.22917999999999999</v>
      </c>
      <c r="X288" s="31">
        <v>73.309489999999997</v>
      </c>
    </row>
    <row r="289" spans="1:24" x14ac:dyDescent="0.25">
      <c r="A289">
        <v>116</v>
      </c>
      <c r="B289"/>
      <c r="C289">
        <v>4265</v>
      </c>
      <c r="D289">
        <v>1137</v>
      </c>
      <c r="E289"/>
      <c r="F289"/>
      <c r="G289">
        <v>209</v>
      </c>
      <c r="H289">
        <v>396</v>
      </c>
      <c r="I289">
        <v>6123</v>
      </c>
      <c r="J289">
        <v>2</v>
      </c>
      <c r="K289">
        <v>3844</v>
      </c>
      <c r="L289">
        <v>2277</v>
      </c>
      <c r="M289">
        <v>5519</v>
      </c>
      <c r="N289">
        <v>604</v>
      </c>
      <c r="O289" t="s">
        <v>813</v>
      </c>
      <c r="P289" t="s">
        <v>172</v>
      </c>
      <c r="Q289" s="31">
        <v>14395</v>
      </c>
      <c r="R289" s="31" t="s">
        <v>172</v>
      </c>
      <c r="S289" s="31" t="s">
        <v>813</v>
      </c>
      <c r="T289" s="31">
        <v>2.5999999999999999E-3</v>
      </c>
      <c r="U289" s="31">
        <v>8.6010000000000003E-2</v>
      </c>
      <c r="V289" s="31">
        <v>0.23397000000000001</v>
      </c>
      <c r="W289" s="31">
        <v>0.18701000000000001</v>
      </c>
      <c r="X289" s="31">
        <v>62.936030000000002</v>
      </c>
    </row>
    <row r="290" spans="1:24" x14ac:dyDescent="0.25">
      <c r="A290">
        <v>341</v>
      </c>
      <c r="B290"/>
      <c r="C290">
        <v>5550</v>
      </c>
      <c r="D290">
        <v>2121</v>
      </c>
      <c r="E290"/>
      <c r="F290"/>
      <c r="G290">
        <v>1185</v>
      </c>
      <c r="H290">
        <v>624</v>
      </c>
      <c r="I290">
        <v>9821</v>
      </c>
      <c r="J290">
        <v>49</v>
      </c>
      <c r="K290">
        <v>7498</v>
      </c>
      <c r="L290">
        <v>2275</v>
      </c>
      <c r="M290">
        <v>8606</v>
      </c>
      <c r="N290">
        <v>1215</v>
      </c>
      <c r="O290" t="s">
        <v>808</v>
      </c>
      <c r="P290" t="s">
        <v>388</v>
      </c>
      <c r="Q290" s="31">
        <v>21380</v>
      </c>
      <c r="R290" s="31" t="s">
        <v>388</v>
      </c>
      <c r="S290" s="31" t="s">
        <v>808</v>
      </c>
      <c r="T290" s="31">
        <v>2.7399999999999998E-3</v>
      </c>
      <c r="U290" s="31">
        <v>0.1004</v>
      </c>
      <c r="V290" s="31">
        <v>0.17101</v>
      </c>
      <c r="W290" s="31">
        <v>0.20438999999999999</v>
      </c>
      <c r="X290" s="31">
        <v>79.501909999999995</v>
      </c>
    </row>
    <row r="291" spans="1:24" x14ac:dyDescent="0.25">
      <c r="A291">
        <v>741</v>
      </c>
      <c r="B291"/>
      <c r="C291">
        <v>4425</v>
      </c>
      <c r="D291">
        <v>1418</v>
      </c>
      <c r="E291"/>
      <c r="F291"/>
      <c r="G291">
        <v>127</v>
      </c>
      <c r="H291"/>
      <c r="I291">
        <v>6711</v>
      </c>
      <c r="J291">
        <v>52</v>
      </c>
      <c r="K291">
        <v>3967</v>
      </c>
      <c r="L291">
        <v>2675</v>
      </c>
      <c r="M291">
        <v>5079</v>
      </c>
      <c r="N291">
        <v>1616</v>
      </c>
      <c r="O291" t="s">
        <v>821</v>
      </c>
      <c r="P291" t="s">
        <v>181</v>
      </c>
      <c r="Q291" s="31">
        <v>15755</v>
      </c>
      <c r="R291" s="31" t="s">
        <v>181</v>
      </c>
      <c r="S291" s="31" t="s">
        <v>821</v>
      </c>
      <c r="T291" s="31">
        <v>3.5500000000000002E-3</v>
      </c>
      <c r="U291" s="31">
        <v>8.9789999999999995E-2</v>
      </c>
      <c r="V291" s="31">
        <v>0.28739999999999999</v>
      </c>
      <c r="W291" s="31">
        <v>0.22287000000000001</v>
      </c>
      <c r="X291" s="31">
        <v>65.75318</v>
      </c>
    </row>
    <row r="292" spans="1:24" x14ac:dyDescent="0.25">
      <c r="A292">
        <v>143</v>
      </c>
      <c r="B292"/>
      <c r="C292">
        <v>2753</v>
      </c>
      <c r="D292">
        <v>600</v>
      </c>
      <c r="E292"/>
      <c r="F292"/>
      <c r="G292">
        <v>62</v>
      </c>
      <c r="H292">
        <v>81</v>
      </c>
      <c r="I292">
        <v>3639</v>
      </c>
      <c r="J292">
        <v>24</v>
      </c>
      <c r="K292">
        <v>2608</v>
      </c>
      <c r="L292">
        <v>1007</v>
      </c>
      <c r="M292">
        <v>3292</v>
      </c>
      <c r="N292">
        <v>347</v>
      </c>
      <c r="O292" t="s">
        <v>892</v>
      </c>
      <c r="P292" t="s">
        <v>445</v>
      </c>
      <c r="Q292" s="31">
        <v>7870</v>
      </c>
      <c r="R292" s="31" t="s">
        <v>445</v>
      </c>
      <c r="S292" s="31" t="s">
        <v>892</v>
      </c>
      <c r="T292" s="31">
        <v>3.6099999999999999E-3</v>
      </c>
      <c r="U292" s="31">
        <v>7.7079999999999996E-2</v>
      </c>
      <c r="V292" s="31">
        <v>0.24809</v>
      </c>
      <c r="W292" s="31">
        <v>0.21920999999999999</v>
      </c>
      <c r="X292" s="31">
        <v>86.556780000000003</v>
      </c>
    </row>
    <row r="293" spans="1:24" x14ac:dyDescent="0.25">
      <c r="A293">
        <v>884</v>
      </c>
      <c r="B293"/>
      <c r="C293">
        <v>12084</v>
      </c>
      <c r="D293">
        <v>2761</v>
      </c>
      <c r="E293"/>
      <c r="F293"/>
      <c r="G293">
        <v>398</v>
      </c>
      <c r="H293">
        <v>2911</v>
      </c>
      <c r="I293">
        <v>19038</v>
      </c>
      <c r="J293">
        <v>45</v>
      </c>
      <c r="K293">
        <v>11697</v>
      </c>
      <c r="L293">
        <v>7290</v>
      </c>
      <c r="M293">
        <v>14600</v>
      </c>
      <c r="N293">
        <v>4432</v>
      </c>
      <c r="O293" t="s">
        <v>731</v>
      </c>
      <c r="P293" t="s">
        <v>486</v>
      </c>
      <c r="Q293" s="31">
        <v>37520</v>
      </c>
      <c r="R293" s="31" t="s">
        <v>486</v>
      </c>
      <c r="S293" s="31" t="s">
        <v>731</v>
      </c>
      <c r="T293" s="31">
        <v>3.2699999999999999E-3</v>
      </c>
      <c r="U293" s="31">
        <v>7.4380000000000002E-2</v>
      </c>
      <c r="V293" s="31">
        <v>0.18201999999999999</v>
      </c>
      <c r="W293" s="31">
        <v>0.22728000000000001</v>
      </c>
      <c r="X293" s="31">
        <v>97.59299</v>
      </c>
    </row>
    <row r="294" spans="1:24" x14ac:dyDescent="0.25">
      <c r="A294">
        <v>390</v>
      </c>
      <c r="B294"/>
      <c r="C294">
        <v>4759</v>
      </c>
      <c r="D294">
        <v>1359</v>
      </c>
      <c r="E294"/>
      <c r="F294"/>
      <c r="G294">
        <v>177</v>
      </c>
      <c r="H294">
        <v>814</v>
      </c>
      <c r="I294">
        <v>7499</v>
      </c>
      <c r="J294">
        <v>1</v>
      </c>
      <c r="K294">
        <v>5241</v>
      </c>
      <c r="L294">
        <v>2236</v>
      </c>
      <c r="M294">
        <v>5702</v>
      </c>
      <c r="N294">
        <v>1776</v>
      </c>
      <c r="O294" t="s">
        <v>541</v>
      </c>
      <c r="P294" t="s">
        <v>139</v>
      </c>
      <c r="Q294" s="31">
        <v>16250</v>
      </c>
      <c r="R294" s="31" t="s">
        <v>139</v>
      </c>
      <c r="S294" s="31" t="s">
        <v>541</v>
      </c>
      <c r="T294" s="31">
        <v>3.7299999999999998E-3</v>
      </c>
      <c r="U294" s="31">
        <v>8.1280000000000005E-2</v>
      </c>
      <c r="V294" s="31">
        <v>0.25530000000000003</v>
      </c>
      <c r="W294" s="31">
        <v>0.23768</v>
      </c>
      <c r="X294" s="31">
        <v>80.449610000000007</v>
      </c>
    </row>
    <row r="295" spans="1:24" x14ac:dyDescent="0.25">
      <c r="A295">
        <v>189</v>
      </c>
      <c r="B295"/>
      <c r="C295">
        <v>4306</v>
      </c>
      <c r="D295">
        <v>968</v>
      </c>
      <c r="E295"/>
      <c r="F295"/>
      <c r="G295">
        <v>121</v>
      </c>
      <c r="H295">
        <v>373</v>
      </c>
      <c r="I295">
        <v>5957</v>
      </c>
      <c r="J295">
        <v>0</v>
      </c>
      <c r="K295">
        <v>3993</v>
      </c>
      <c r="L295">
        <v>1964</v>
      </c>
      <c r="M295">
        <v>5197</v>
      </c>
      <c r="N295">
        <v>760</v>
      </c>
      <c r="O295" t="s">
        <v>725</v>
      </c>
      <c r="P295" t="s">
        <v>153</v>
      </c>
      <c r="Q295" s="31">
        <v>13600</v>
      </c>
      <c r="R295" s="31" t="s">
        <v>153</v>
      </c>
      <c r="S295" s="31" t="s">
        <v>725</v>
      </c>
      <c r="T295" s="31">
        <v>3.0100000000000001E-3</v>
      </c>
      <c r="U295" s="31">
        <v>6.8940000000000001E-2</v>
      </c>
      <c r="V295" s="31">
        <v>0.22650000000000001</v>
      </c>
      <c r="W295" s="31">
        <v>0.21049000000000001</v>
      </c>
      <c r="X295" s="31">
        <v>76.611739999999998</v>
      </c>
    </row>
    <row r="296" spans="1:24" x14ac:dyDescent="0.25">
      <c r="A296">
        <v>84</v>
      </c>
      <c r="B296"/>
      <c r="C296">
        <v>4023</v>
      </c>
      <c r="D296">
        <v>1045</v>
      </c>
      <c r="E296"/>
      <c r="F296"/>
      <c r="G296">
        <v>321</v>
      </c>
      <c r="H296">
        <v>208</v>
      </c>
      <c r="I296">
        <v>5681</v>
      </c>
      <c r="J296">
        <v>0</v>
      </c>
      <c r="K296">
        <v>4008</v>
      </c>
      <c r="L296">
        <v>1673</v>
      </c>
      <c r="M296">
        <v>5326</v>
      </c>
      <c r="N296">
        <v>355</v>
      </c>
      <c r="O296" t="s">
        <v>720</v>
      </c>
      <c r="P296" t="s">
        <v>481</v>
      </c>
      <c r="Q296" s="31">
        <v>13190</v>
      </c>
      <c r="R296" s="31" t="s">
        <v>481</v>
      </c>
      <c r="S296" s="31" t="s">
        <v>720</v>
      </c>
      <c r="T296" s="31">
        <v>3.2499999999999999E-3</v>
      </c>
      <c r="U296" s="31">
        <v>8.6879999999999999E-2</v>
      </c>
      <c r="V296" s="31">
        <v>0.21858</v>
      </c>
      <c r="W296" s="31">
        <v>0.21351999999999999</v>
      </c>
      <c r="X296" s="31">
        <v>83.854920000000007</v>
      </c>
    </row>
    <row r="297" spans="1:24" x14ac:dyDescent="0.25">
      <c r="A297">
        <v>970</v>
      </c>
      <c r="B297"/>
      <c r="C297">
        <v>9081</v>
      </c>
      <c r="D297">
        <v>2929</v>
      </c>
      <c r="E297"/>
      <c r="F297"/>
      <c r="G297">
        <v>488</v>
      </c>
      <c r="H297">
        <v>1989</v>
      </c>
      <c r="I297">
        <v>15457</v>
      </c>
      <c r="J297">
        <v>35</v>
      </c>
      <c r="K297">
        <v>8942</v>
      </c>
      <c r="L297">
        <v>6437</v>
      </c>
      <c r="M297">
        <v>10359</v>
      </c>
      <c r="N297">
        <v>5055</v>
      </c>
      <c r="O297" t="s">
        <v>895</v>
      </c>
      <c r="P297" t="s">
        <v>459</v>
      </c>
      <c r="Q297" s="31">
        <v>28870</v>
      </c>
      <c r="R297" s="31" t="s">
        <v>459</v>
      </c>
      <c r="S297" s="31" t="s">
        <v>895</v>
      </c>
      <c r="T297" s="31">
        <v>3.4399999999999999E-3</v>
      </c>
      <c r="U297" s="31">
        <v>9.9739999999999995E-2</v>
      </c>
      <c r="V297" s="31">
        <v>0.16214000000000001</v>
      </c>
      <c r="W297" s="31">
        <v>0.22728999999999999</v>
      </c>
      <c r="X297" s="31">
        <v>105.15797000000001</v>
      </c>
    </row>
    <row r="298" spans="1:24" x14ac:dyDescent="0.25">
      <c r="A298">
        <v>225</v>
      </c>
      <c r="B298"/>
      <c r="C298">
        <v>5404</v>
      </c>
      <c r="D298">
        <v>1161</v>
      </c>
      <c r="E298"/>
      <c r="F298"/>
      <c r="G298">
        <v>259</v>
      </c>
      <c r="H298">
        <v>407</v>
      </c>
      <c r="I298">
        <v>7456</v>
      </c>
      <c r="J298">
        <v>120</v>
      </c>
      <c r="K298">
        <v>4781</v>
      </c>
      <c r="L298">
        <v>2535</v>
      </c>
      <c r="M298">
        <v>6738</v>
      </c>
      <c r="N298">
        <v>698</v>
      </c>
      <c r="O298" t="s">
        <v>610</v>
      </c>
      <c r="P298" t="s">
        <v>412</v>
      </c>
      <c r="Q298" s="31">
        <v>17255</v>
      </c>
      <c r="R298" s="31" t="s">
        <v>412</v>
      </c>
      <c r="S298" s="31" t="s">
        <v>610</v>
      </c>
      <c r="T298" s="31">
        <v>3.0000000000000001E-3</v>
      </c>
      <c r="U298" s="31">
        <v>7.288E-2</v>
      </c>
      <c r="V298" s="31">
        <v>0.17534</v>
      </c>
      <c r="W298" s="31">
        <v>0.21317</v>
      </c>
      <c r="X298" s="31">
        <v>98.343000000000004</v>
      </c>
    </row>
    <row r="299" spans="1:24" x14ac:dyDescent="0.25">
      <c r="A299">
        <v>4082</v>
      </c>
      <c r="B299"/>
      <c r="C299">
        <v>26314</v>
      </c>
      <c r="D299">
        <v>8537</v>
      </c>
      <c r="E299"/>
      <c r="F299"/>
      <c r="G299">
        <v>721</v>
      </c>
      <c r="H299">
        <v>6421</v>
      </c>
      <c r="I299">
        <v>46075</v>
      </c>
      <c r="J299">
        <v>29</v>
      </c>
      <c r="K299">
        <v>21494</v>
      </c>
      <c r="L299">
        <v>24532</v>
      </c>
      <c r="M299">
        <v>29221</v>
      </c>
      <c r="N299">
        <v>16834</v>
      </c>
      <c r="O299" t="s">
        <v>680</v>
      </c>
      <c r="P299" t="s">
        <v>262</v>
      </c>
      <c r="Q299" s="31">
        <v>88160</v>
      </c>
      <c r="R299" s="31" t="s">
        <v>262</v>
      </c>
      <c r="S299" s="31" t="s">
        <v>680</v>
      </c>
      <c r="T299" s="31">
        <v>3.3500000000000001E-3</v>
      </c>
      <c r="U299" s="31">
        <v>9.8970000000000002E-2</v>
      </c>
      <c r="V299" s="31">
        <v>0.13930999999999999</v>
      </c>
      <c r="W299" s="31">
        <v>0.21593000000000001</v>
      </c>
      <c r="X299" s="31">
        <v>115.36456</v>
      </c>
    </row>
    <row r="300" spans="1:24" x14ac:dyDescent="0.25">
      <c r="A300">
        <v>2482</v>
      </c>
      <c r="B300"/>
      <c r="C300">
        <v>14005</v>
      </c>
      <c r="D300">
        <v>4302</v>
      </c>
      <c r="E300"/>
      <c r="F300"/>
      <c r="G300">
        <v>456</v>
      </c>
      <c r="H300">
        <v>3952</v>
      </c>
      <c r="I300">
        <v>25197</v>
      </c>
      <c r="J300">
        <v>301</v>
      </c>
      <c r="K300">
        <v>13368</v>
      </c>
      <c r="L300">
        <v>11488</v>
      </c>
      <c r="M300">
        <v>16675</v>
      </c>
      <c r="N300">
        <v>8481</v>
      </c>
      <c r="O300" t="s">
        <v>886</v>
      </c>
      <c r="P300" t="s">
        <v>297</v>
      </c>
      <c r="Q300" s="31">
        <v>46750</v>
      </c>
      <c r="R300" s="31" t="s">
        <v>297</v>
      </c>
      <c r="S300" s="31" t="s">
        <v>886</v>
      </c>
      <c r="T300" s="31">
        <v>3.6900000000000001E-3</v>
      </c>
      <c r="U300" s="31">
        <v>9.4780000000000003E-2</v>
      </c>
      <c r="V300" s="31">
        <v>0.16066</v>
      </c>
      <c r="W300" s="31">
        <v>0.23551</v>
      </c>
      <c r="X300" s="31">
        <v>111.54492</v>
      </c>
    </row>
    <row r="301" spans="1:24" x14ac:dyDescent="0.25">
      <c r="A301">
        <v>10133</v>
      </c>
      <c r="B301"/>
      <c r="C301">
        <v>30212</v>
      </c>
      <c r="D301">
        <v>12186</v>
      </c>
      <c r="E301"/>
      <c r="F301"/>
      <c r="G301">
        <v>1090</v>
      </c>
      <c r="H301">
        <v>11241</v>
      </c>
      <c r="I301">
        <v>64862</v>
      </c>
      <c r="J301">
        <v>1328</v>
      </c>
      <c r="K301">
        <v>25874</v>
      </c>
      <c r="L301">
        <v>37623</v>
      </c>
      <c r="M301">
        <v>33937</v>
      </c>
      <c r="N301">
        <v>30888</v>
      </c>
      <c r="O301" t="s">
        <v>750</v>
      </c>
      <c r="P301" t="s">
        <v>453</v>
      </c>
      <c r="Q301" s="31">
        <v>122400</v>
      </c>
      <c r="R301" s="31" t="s">
        <v>453</v>
      </c>
      <c r="S301" s="31" t="s">
        <v>750</v>
      </c>
      <c r="T301" s="31">
        <v>3.0899999999999999E-3</v>
      </c>
      <c r="U301" s="31">
        <v>0.10303</v>
      </c>
      <c r="V301" s="31">
        <v>0.15106</v>
      </c>
      <c r="W301" s="31">
        <v>0.20022999999999999</v>
      </c>
      <c r="X301" s="31">
        <v>84.481579999999994</v>
      </c>
    </row>
    <row r="302" spans="1:24" x14ac:dyDescent="0.25">
      <c r="A302">
        <v>445</v>
      </c>
      <c r="B302"/>
      <c r="C302">
        <v>5875</v>
      </c>
      <c r="D302">
        <v>1334</v>
      </c>
      <c r="E302"/>
      <c r="F302"/>
      <c r="G302">
        <v>282</v>
      </c>
      <c r="H302">
        <v>684</v>
      </c>
      <c r="I302">
        <v>8620</v>
      </c>
      <c r="J302">
        <v>0</v>
      </c>
      <c r="K302">
        <v>6007</v>
      </c>
      <c r="L302">
        <v>2613</v>
      </c>
      <c r="M302">
        <v>7283</v>
      </c>
      <c r="N302">
        <v>1337</v>
      </c>
      <c r="O302" t="s">
        <v>681</v>
      </c>
      <c r="P302" t="s">
        <v>263</v>
      </c>
      <c r="Q302" s="31">
        <v>19230</v>
      </c>
      <c r="R302" s="31" t="s">
        <v>263</v>
      </c>
      <c r="S302" s="31" t="s">
        <v>681</v>
      </c>
      <c r="T302" s="31">
        <v>3.7000000000000002E-3</v>
      </c>
      <c r="U302" s="31">
        <v>6.8860000000000005E-2</v>
      </c>
      <c r="V302" s="31">
        <v>0.27726000000000001</v>
      </c>
      <c r="W302" s="31">
        <v>0.24706</v>
      </c>
      <c r="X302" s="31">
        <v>77.23724</v>
      </c>
    </row>
    <row r="303" spans="1:24" x14ac:dyDescent="0.25">
      <c r="A303">
        <v>109</v>
      </c>
      <c r="B303"/>
      <c r="C303">
        <v>2465</v>
      </c>
      <c r="D303">
        <v>674</v>
      </c>
      <c r="E303"/>
      <c r="F303"/>
      <c r="G303">
        <v>78</v>
      </c>
      <c r="H303">
        <v>254</v>
      </c>
      <c r="I303">
        <v>3580</v>
      </c>
      <c r="J303">
        <v>1</v>
      </c>
      <c r="K303">
        <v>2678</v>
      </c>
      <c r="L303">
        <v>901</v>
      </c>
      <c r="M303">
        <v>3149</v>
      </c>
      <c r="N303">
        <v>431</v>
      </c>
      <c r="O303" t="s">
        <v>557</v>
      </c>
      <c r="P303" t="s">
        <v>342</v>
      </c>
      <c r="Q303" s="31">
        <v>7785</v>
      </c>
      <c r="R303" s="31" t="s">
        <v>342</v>
      </c>
      <c r="S303" s="31" t="s">
        <v>557</v>
      </c>
      <c r="T303" s="31">
        <v>3.8400000000000001E-3</v>
      </c>
      <c r="U303" s="31">
        <v>8.5709999999999995E-2</v>
      </c>
      <c r="V303" s="31">
        <v>0.32833000000000001</v>
      </c>
      <c r="W303" s="31">
        <v>0.24951999999999999</v>
      </c>
      <c r="X303" s="31">
        <v>65.225970000000004</v>
      </c>
    </row>
    <row r="304" spans="1:24" x14ac:dyDescent="0.25">
      <c r="A304">
        <v>165</v>
      </c>
      <c r="B304"/>
      <c r="C304">
        <v>4389</v>
      </c>
      <c r="D304">
        <v>1837</v>
      </c>
      <c r="E304"/>
      <c r="F304"/>
      <c r="G304">
        <v>381</v>
      </c>
      <c r="H304">
        <v>570</v>
      </c>
      <c r="I304">
        <v>7342</v>
      </c>
      <c r="J304">
        <v>74</v>
      </c>
      <c r="K304">
        <v>5134</v>
      </c>
      <c r="L304">
        <v>2134</v>
      </c>
      <c r="M304">
        <v>6427</v>
      </c>
      <c r="N304">
        <v>915</v>
      </c>
      <c r="O304" t="s">
        <v>842</v>
      </c>
      <c r="P304" t="s">
        <v>420</v>
      </c>
      <c r="Q304" s="31">
        <v>16725</v>
      </c>
      <c r="R304" s="31" t="s">
        <v>420</v>
      </c>
      <c r="S304" s="31" t="s">
        <v>842</v>
      </c>
      <c r="T304" s="31">
        <v>3.31E-3</v>
      </c>
      <c r="U304" s="31">
        <v>0.11239</v>
      </c>
      <c r="V304" s="31">
        <v>0.23641000000000001</v>
      </c>
      <c r="W304" s="31">
        <v>0.20896000000000001</v>
      </c>
      <c r="X304" s="31">
        <v>70.165009999999995</v>
      </c>
    </row>
    <row r="305" spans="1:24" x14ac:dyDescent="0.25">
      <c r="A305">
        <v>507</v>
      </c>
      <c r="B305"/>
      <c r="C305">
        <v>4677</v>
      </c>
      <c r="D305">
        <v>1125</v>
      </c>
      <c r="E305"/>
      <c r="F305"/>
      <c r="G305">
        <v>238</v>
      </c>
      <c r="H305">
        <v>495</v>
      </c>
      <c r="I305">
        <v>7042</v>
      </c>
      <c r="J305">
        <v>5</v>
      </c>
      <c r="K305">
        <v>5021</v>
      </c>
      <c r="L305">
        <v>2001</v>
      </c>
      <c r="M305">
        <v>5787</v>
      </c>
      <c r="N305">
        <v>1241</v>
      </c>
      <c r="O305" t="s">
        <v>917</v>
      </c>
      <c r="P305" t="s">
        <v>511</v>
      </c>
      <c r="Q305" s="31">
        <v>15555</v>
      </c>
      <c r="R305" s="31" t="s">
        <v>511</v>
      </c>
      <c r="S305" s="31" t="s">
        <v>917</v>
      </c>
      <c r="T305" s="31">
        <v>3.79E-3</v>
      </c>
      <c r="U305" s="31">
        <v>7.1819999999999995E-2</v>
      </c>
      <c r="V305" s="31">
        <v>0.26444000000000001</v>
      </c>
      <c r="W305" s="31">
        <v>0.25472</v>
      </c>
      <c r="X305" s="31">
        <v>83.012259999999998</v>
      </c>
    </row>
    <row r="306" spans="1:24" x14ac:dyDescent="0.25">
      <c r="A306">
        <v>1992</v>
      </c>
      <c r="B306"/>
      <c r="C306">
        <v>16281</v>
      </c>
      <c r="D306">
        <v>5471</v>
      </c>
      <c r="E306"/>
      <c r="F306"/>
      <c r="G306">
        <v>479</v>
      </c>
      <c r="H306">
        <v>3687</v>
      </c>
      <c r="I306">
        <v>27910</v>
      </c>
      <c r="J306">
        <v>140</v>
      </c>
      <c r="K306">
        <v>14924</v>
      </c>
      <c r="L306">
        <v>12722</v>
      </c>
      <c r="M306">
        <v>18845</v>
      </c>
      <c r="N306">
        <v>8941</v>
      </c>
      <c r="O306" t="s">
        <v>861</v>
      </c>
      <c r="P306" t="s">
        <v>442</v>
      </c>
      <c r="Q306" s="31">
        <v>56855</v>
      </c>
      <c r="R306" s="31" t="s">
        <v>442</v>
      </c>
      <c r="S306" s="31" t="s">
        <v>861</v>
      </c>
      <c r="T306" s="31">
        <v>3.0000000000000001E-3</v>
      </c>
      <c r="U306" s="31">
        <v>9.8979999999999999E-2</v>
      </c>
      <c r="V306" s="31">
        <v>0.17182</v>
      </c>
      <c r="W306" s="31">
        <v>0.19486000000000001</v>
      </c>
      <c r="X306" s="31">
        <v>85.212819999999994</v>
      </c>
    </row>
    <row r="307" spans="1:24" x14ac:dyDescent="0.25">
      <c r="A307">
        <v>320</v>
      </c>
      <c r="B307"/>
      <c r="C307">
        <v>4193</v>
      </c>
      <c r="D307">
        <v>963</v>
      </c>
      <c r="E307"/>
      <c r="F307"/>
      <c r="G307">
        <v>188</v>
      </c>
      <c r="H307">
        <v>320</v>
      </c>
      <c r="I307">
        <v>5984</v>
      </c>
      <c r="J307">
        <v>80</v>
      </c>
      <c r="K307">
        <v>4352</v>
      </c>
      <c r="L307">
        <v>1532</v>
      </c>
      <c r="M307">
        <v>5056</v>
      </c>
      <c r="N307">
        <v>909</v>
      </c>
      <c r="O307" t="s">
        <v>748</v>
      </c>
      <c r="P307" t="s">
        <v>451</v>
      </c>
      <c r="Q307" s="31">
        <v>12880</v>
      </c>
      <c r="R307" s="31" t="s">
        <v>451</v>
      </c>
      <c r="S307" s="31" t="s">
        <v>748</v>
      </c>
      <c r="T307" s="31">
        <v>3.8500000000000001E-3</v>
      </c>
      <c r="U307" s="31">
        <v>7.3340000000000002E-2</v>
      </c>
      <c r="V307" s="31">
        <v>0.29648999999999998</v>
      </c>
      <c r="W307" s="31">
        <v>0.24537</v>
      </c>
      <c r="X307" s="31">
        <v>75.837469999999996</v>
      </c>
    </row>
    <row r="308" spans="1:24" x14ac:dyDescent="0.25">
      <c r="A308">
        <v>186</v>
      </c>
      <c r="B308"/>
      <c r="C308">
        <v>3428</v>
      </c>
      <c r="D308">
        <v>856</v>
      </c>
      <c r="E308"/>
      <c r="F308"/>
      <c r="G308">
        <v>133</v>
      </c>
      <c r="H308">
        <v>690</v>
      </c>
      <c r="I308">
        <v>5293</v>
      </c>
      <c r="J308">
        <v>3</v>
      </c>
      <c r="K308">
        <v>3212</v>
      </c>
      <c r="L308">
        <v>2078</v>
      </c>
      <c r="M308">
        <v>4111</v>
      </c>
      <c r="N308">
        <v>1182</v>
      </c>
      <c r="O308" t="s">
        <v>693</v>
      </c>
      <c r="P308" t="s">
        <v>275</v>
      </c>
      <c r="Q308" s="31">
        <v>10830</v>
      </c>
      <c r="R308" s="31" t="s">
        <v>275</v>
      </c>
      <c r="S308" s="31" t="s">
        <v>693</v>
      </c>
      <c r="T308" s="31">
        <v>4.2399999999999998E-3</v>
      </c>
      <c r="U308" s="31">
        <v>8.0750000000000002E-2</v>
      </c>
      <c r="V308" s="31">
        <v>0.24743999999999999</v>
      </c>
      <c r="W308" s="31">
        <v>0.24532000000000001</v>
      </c>
      <c r="X308" s="31">
        <v>94.334779999999995</v>
      </c>
    </row>
    <row r="309" spans="1:24" x14ac:dyDescent="0.25">
      <c r="A309">
        <v>485</v>
      </c>
      <c r="B309"/>
      <c r="C309">
        <v>7800</v>
      </c>
      <c r="D309">
        <v>2010</v>
      </c>
      <c r="E309"/>
      <c r="F309"/>
      <c r="G309">
        <v>272</v>
      </c>
      <c r="H309">
        <v>1267</v>
      </c>
      <c r="I309">
        <v>11834</v>
      </c>
      <c r="J309">
        <v>65</v>
      </c>
      <c r="K309">
        <v>8392</v>
      </c>
      <c r="L309">
        <v>3377</v>
      </c>
      <c r="M309">
        <v>9807</v>
      </c>
      <c r="N309">
        <v>2027</v>
      </c>
      <c r="O309" t="s">
        <v>911</v>
      </c>
      <c r="P309" t="s">
        <v>491</v>
      </c>
      <c r="Q309" s="31">
        <v>25365</v>
      </c>
      <c r="R309" s="31" t="s">
        <v>491</v>
      </c>
      <c r="S309" s="31" t="s">
        <v>911</v>
      </c>
      <c r="T309" s="31">
        <v>3.47E-3</v>
      </c>
      <c r="U309" s="31">
        <v>8.4370000000000001E-2</v>
      </c>
      <c r="V309" s="31">
        <v>0.21734000000000001</v>
      </c>
      <c r="W309" s="31">
        <v>0.24374000000000001</v>
      </c>
      <c r="X309" s="31">
        <v>87.186989999999994</v>
      </c>
    </row>
    <row r="310" spans="1:24" x14ac:dyDescent="0.25">
      <c r="A310">
        <v>717</v>
      </c>
      <c r="B310"/>
      <c r="C310">
        <v>2737</v>
      </c>
      <c r="D310">
        <v>1140</v>
      </c>
      <c r="E310"/>
      <c r="F310"/>
      <c r="G310">
        <v>110</v>
      </c>
      <c r="H310">
        <v>715</v>
      </c>
      <c r="I310">
        <v>5419</v>
      </c>
      <c r="J310">
        <v>3</v>
      </c>
      <c r="K310">
        <v>2622</v>
      </c>
      <c r="L310">
        <v>2794</v>
      </c>
      <c r="M310">
        <v>3151</v>
      </c>
      <c r="N310">
        <v>2268</v>
      </c>
      <c r="O310" t="s">
        <v>773</v>
      </c>
      <c r="P310" t="s">
        <v>339</v>
      </c>
      <c r="Q310" s="31">
        <v>9665</v>
      </c>
      <c r="R310" s="31" t="s">
        <v>339</v>
      </c>
      <c r="S310" s="31" t="s">
        <v>773</v>
      </c>
      <c r="T310" s="31">
        <v>4.0699999999999998E-3</v>
      </c>
      <c r="U310" s="31">
        <v>0.11513</v>
      </c>
      <c r="V310" s="31">
        <v>0.18817</v>
      </c>
      <c r="W310" s="31">
        <v>0.26433000000000001</v>
      </c>
      <c r="X310" s="31">
        <v>94.434259999999995</v>
      </c>
    </row>
    <row r="311" spans="1:24" x14ac:dyDescent="0.25">
      <c r="A311">
        <v>3671</v>
      </c>
      <c r="B311"/>
      <c r="C311">
        <v>28337</v>
      </c>
      <c r="D311">
        <v>7712</v>
      </c>
      <c r="E311"/>
      <c r="F311"/>
      <c r="G311">
        <v>1110</v>
      </c>
      <c r="H311">
        <v>7044</v>
      </c>
      <c r="I311">
        <v>47874</v>
      </c>
      <c r="J311">
        <v>40</v>
      </c>
      <c r="K311">
        <v>28083</v>
      </c>
      <c r="L311">
        <v>19633</v>
      </c>
      <c r="M311">
        <v>33010</v>
      </c>
      <c r="N311">
        <v>14746</v>
      </c>
      <c r="O311" t="s">
        <v>766</v>
      </c>
      <c r="P311" t="s">
        <v>332</v>
      </c>
      <c r="Q311" s="31">
        <v>100225</v>
      </c>
      <c r="R311" s="31" t="s">
        <v>332</v>
      </c>
      <c r="S311" s="31" t="s">
        <v>766</v>
      </c>
      <c r="T311" s="31">
        <v>3.0899999999999999E-3</v>
      </c>
      <c r="U311" s="31">
        <v>8.0820000000000003E-2</v>
      </c>
      <c r="V311" s="31">
        <v>0.17559</v>
      </c>
      <c r="W311" s="31">
        <v>0.20251</v>
      </c>
      <c r="X311" s="31">
        <v>88.749070000000003</v>
      </c>
    </row>
    <row r="312" spans="1:24" x14ac:dyDescent="0.25">
      <c r="A312">
        <v>335</v>
      </c>
      <c r="B312"/>
      <c r="C312">
        <v>12371</v>
      </c>
      <c r="D312">
        <v>3422</v>
      </c>
      <c r="E312"/>
      <c r="F312"/>
      <c r="G312">
        <v>976</v>
      </c>
      <c r="H312">
        <v>2378</v>
      </c>
      <c r="I312">
        <v>19482</v>
      </c>
      <c r="J312">
        <v>42</v>
      </c>
      <c r="K312">
        <v>12171</v>
      </c>
      <c r="L312">
        <v>7269</v>
      </c>
      <c r="M312">
        <v>15854</v>
      </c>
      <c r="N312">
        <v>3628</v>
      </c>
      <c r="O312" t="s">
        <v>928</v>
      </c>
      <c r="P312" t="s">
        <v>521</v>
      </c>
      <c r="Q312" s="31">
        <v>43070</v>
      </c>
      <c r="R312" s="31" t="s">
        <v>521</v>
      </c>
      <c r="S312" s="31" t="s">
        <v>928</v>
      </c>
      <c r="T312" s="31">
        <v>3.0200000000000001E-3</v>
      </c>
      <c r="U312" s="31">
        <v>8.2489999999999994E-2</v>
      </c>
      <c r="V312" s="31">
        <v>0.21368999999999999</v>
      </c>
      <c r="W312" s="31">
        <v>0.19031999999999999</v>
      </c>
      <c r="X312" s="31">
        <v>73.959940000000003</v>
      </c>
    </row>
    <row r="313" spans="1:24" x14ac:dyDescent="0.25">
      <c r="A313">
        <v>168</v>
      </c>
      <c r="B313"/>
      <c r="C313">
        <v>4169</v>
      </c>
      <c r="D313">
        <v>1061</v>
      </c>
      <c r="E313"/>
      <c r="F313"/>
      <c r="G313">
        <v>196</v>
      </c>
      <c r="H313">
        <v>302</v>
      </c>
      <c r="I313">
        <v>5896</v>
      </c>
      <c r="J313">
        <v>72</v>
      </c>
      <c r="K313">
        <v>4026</v>
      </c>
      <c r="L313">
        <v>1724</v>
      </c>
      <c r="M313">
        <v>5176</v>
      </c>
      <c r="N313">
        <v>646</v>
      </c>
      <c r="O313" t="s">
        <v>606</v>
      </c>
      <c r="P313" t="s">
        <v>202</v>
      </c>
      <c r="Q313" s="31">
        <v>12420</v>
      </c>
      <c r="R313" s="31" t="s">
        <v>202</v>
      </c>
      <c r="S313" s="31" t="s">
        <v>606</v>
      </c>
      <c r="T313" s="31">
        <v>4.0899999999999999E-3</v>
      </c>
      <c r="U313" s="31">
        <v>8.5940000000000003E-2</v>
      </c>
      <c r="V313" s="31">
        <v>0.29672999999999999</v>
      </c>
      <c r="W313" s="31">
        <v>0.25501000000000001</v>
      </c>
      <c r="X313" s="31">
        <v>78.774500000000003</v>
      </c>
    </row>
    <row r="314" spans="1:24" x14ac:dyDescent="0.25">
      <c r="A314">
        <v>1382</v>
      </c>
      <c r="B314"/>
      <c r="C314">
        <v>13886</v>
      </c>
      <c r="D314">
        <v>3971</v>
      </c>
      <c r="E314"/>
      <c r="F314"/>
      <c r="G314">
        <v>781</v>
      </c>
      <c r="H314">
        <v>5091</v>
      </c>
      <c r="I314">
        <v>25111</v>
      </c>
      <c r="J314">
        <v>494</v>
      </c>
      <c r="K314">
        <v>15779</v>
      </c>
      <c r="L314">
        <v>8784</v>
      </c>
      <c r="M314">
        <v>17760</v>
      </c>
      <c r="N314">
        <v>7297</v>
      </c>
      <c r="O314" t="s">
        <v>676</v>
      </c>
      <c r="P314" t="s">
        <v>258</v>
      </c>
      <c r="Q314" s="31">
        <v>48640</v>
      </c>
      <c r="R314" s="31" t="s">
        <v>258</v>
      </c>
      <c r="S314" s="31" t="s">
        <v>676</v>
      </c>
      <c r="T314" s="31">
        <v>3.5000000000000001E-3</v>
      </c>
      <c r="U314" s="31">
        <v>9.2719999999999997E-2</v>
      </c>
      <c r="V314" s="31">
        <v>0.21595</v>
      </c>
      <c r="W314" s="31">
        <v>0.218</v>
      </c>
      <c r="X314" s="31">
        <v>83.093400000000003</v>
      </c>
    </row>
    <row r="315" spans="1:24" x14ac:dyDescent="0.25">
      <c r="A315">
        <v>914</v>
      </c>
      <c r="B315"/>
      <c r="C315">
        <v>4625</v>
      </c>
      <c r="D315">
        <v>1463</v>
      </c>
      <c r="E315"/>
      <c r="F315"/>
      <c r="G315">
        <v>350</v>
      </c>
      <c r="H315">
        <v>1115</v>
      </c>
      <c r="I315">
        <v>8467</v>
      </c>
      <c r="J315">
        <v>112</v>
      </c>
      <c r="K315">
        <v>5077</v>
      </c>
      <c r="L315">
        <v>3264</v>
      </c>
      <c r="M315">
        <v>5519</v>
      </c>
      <c r="N315">
        <v>2934</v>
      </c>
      <c r="O315" t="s">
        <v>579</v>
      </c>
      <c r="P315" t="s">
        <v>167</v>
      </c>
      <c r="Q315" s="31">
        <v>16640</v>
      </c>
      <c r="R315" s="31" t="s">
        <v>167</v>
      </c>
      <c r="S315" s="31" t="s">
        <v>579</v>
      </c>
      <c r="T315" s="31">
        <v>4.0899999999999999E-3</v>
      </c>
      <c r="U315" s="31">
        <v>8.702E-2</v>
      </c>
      <c r="V315" s="31">
        <v>0.23013</v>
      </c>
      <c r="W315" s="31">
        <v>0.26824999999999999</v>
      </c>
      <c r="X315" s="31">
        <v>94.438019999999995</v>
      </c>
    </row>
    <row r="316" spans="1:24" x14ac:dyDescent="0.25">
      <c r="A316">
        <v>1045</v>
      </c>
      <c r="B316"/>
      <c r="C316">
        <v>24527</v>
      </c>
      <c r="D316">
        <v>4178</v>
      </c>
      <c r="E316"/>
      <c r="F316"/>
      <c r="G316">
        <v>158</v>
      </c>
      <c r="H316">
        <v>3212</v>
      </c>
      <c r="I316">
        <v>33120</v>
      </c>
      <c r="J316">
        <v>222</v>
      </c>
      <c r="K316">
        <v>20367</v>
      </c>
      <c r="L316">
        <v>12485</v>
      </c>
      <c r="M316">
        <v>27340</v>
      </c>
      <c r="N316">
        <v>5734</v>
      </c>
      <c r="O316" t="s">
        <v>894</v>
      </c>
      <c r="P316" t="s">
        <v>454</v>
      </c>
      <c r="Q316" s="31">
        <v>76060</v>
      </c>
      <c r="R316" s="31" t="s">
        <v>454</v>
      </c>
      <c r="S316" s="31" t="s">
        <v>894</v>
      </c>
      <c r="T316" s="31">
        <v>2.48E-3</v>
      </c>
      <c r="U316" s="31">
        <v>5.6669999999999998E-2</v>
      </c>
      <c r="V316" s="31">
        <v>0.25085000000000002</v>
      </c>
      <c r="W316" s="31">
        <v>0.15568000000000001</v>
      </c>
      <c r="X316" s="31">
        <v>58.207540000000002</v>
      </c>
    </row>
    <row r="317" spans="1:24" x14ac:dyDescent="0.25">
      <c r="A317">
        <v>504</v>
      </c>
      <c r="B317"/>
      <c r="C317">
        <v>11825</v>
      </c>
      <c r="D317">
        <v>3601</v>
      </c>
      <c r="E317"/>
      <c r="F317"/>
      <c r="G317">
        <v>853</v>
      </c>
      <c r="H317">
        <v>1361</v>
      </c>
      <c r="I317">
        <v>18144</v>
      </c>
      <c r="J317">
        <v>195</v>
      </c>
      <c r="K317">
        <v>13721</v>
      </c>
      <c r="L317">
        <v>4205</v>
      </c>
      <c r="M317">
        <v>16038</v>
      </c>
      <c r="N317">
        <v>2083</v>
      </c>
      <c r="O317" t="s">
        <v>824</v>
      </c>
      <c r="P317" t="s">
        <v>184</v>
      </c>
      <c r="Q317" s="31">
        <v>41615</v>
      </c>
      <c r="R317" s="31" t="s">
        <v>184</v>
      </c>
      <c r="S317" s="31" t="s">
        <v>824</v>
      </c>
      <c r="T317" s="31">
        <v>3.0400000000000002E-3</v>
      </c>
      <c r="U317" s="31">
        <v>8.8109999999999994E-2</v>
      </c>
      <c r="V317" s="31">
        <v>0.24268999999999999</v>
      </c>
      <c r="W317" s="31">
        <v>0.19409999999999999</v>
      </c>
      <c r="X317" s="31">
        <v>66.885099999999994</v>
      </c>
    </row>
    <row r="318" spans="1:24" x14ac:dyDescent="0.25">
      <c r="A318">
        <v>639</v>
      </c>
      <c r="B318"/>
      <c r="C318">
        <v>11713</v>
      </c>
      <c r="D318">
        <v>3204</v>
      </c>
      <c r="E318"/>
      <c r="F318"/>
      <c r="G318">
        <v>726</v>
      </c>
      <c r="H318">
        <v>1487</v>
      </c>
      <c r="I318">
        <v>17769</v>
      </c>
      <c r="J318">
        <v>158</v>
      </c>
      <c r="K318">
        <v>11516</v>
      </c>
      <c r="L318">
        <v>6095</v>
      </c>
      <c r="M318">
        <v>15287</v>
      </c>
      <c r="N318">
        <v>2482</v>
      </c>
      <c r="O318" t="s">
        <v>637</v>
      </c>
      <c r="P318" t="s">
        <v>223</v>
      </c>
      <c r="Q318" s="31">
        <v>39375</v>
      </c>
      <c r="R318" s="31" t="s">
        <v>223</v>
      </c>
      <c r="S318" s="31" t="s">
        <v>637</v>
      </c>
      <c r="T318" s="31">
        <v>3.2799999999999999E-3</v>
      </c>
      <c r="U318" s="31">
        <v>8.5050000000000001E-2</v>
      </c>
      <c r="V318" s="31">
        <v>0.19783000000000001</v>
      </c>
      <c r="W318" s="31">
        <v>0.21609999999999999</v>
      </c>
      <c r="X318" s="31">
        <v>89.043859999999995</v>
      </c>
    </row>
    <row r="319" spans="1:24" x14ac:dyDescent="0.25">
      <c r="A319">
        <v>946</v>
      </c>
      <c r="B319"/>
      <c r="C319">
        <v>10681</v>
      </c>
      <c r="D319">
        <v>1980</v>
      </c>
      <c r="E319"/>
      <c r="F319"/>
      <c r="G319">
        <v>218</v>
      </c>
      <c r="H319">
        <v>1785</v>
      </c>
      <c r="I319">
        <v>15610</v>
      </c>
      <c r="J319">
        <v>151</v>
      </c>
      <c r="K319">
        <v>9957</v>
      </c>
      <c r="L319">
        <v>5502</v>
      </c>
      <c r="M319">
        <v>11914</v>
      </c>
      <c r="N319">
        <v>3696</v>
      </c>
      <c r="O319" t="s">
        <v>816</v>
      </c>
      <c r="P319" t="s">
        <v>389</v>
      </c>
      <c r="Q319" s="31">
        <v>35720</v>
      </c>
      <c r="R319" s="31" t="s">
        <v>389</v>
      </c>
      <c r="S319" s="31" t="s">
        <v>816</v>
      </c>
      <c r="T319" s="31">
        <v>2.7699999999999999E-3</v>
      </c>
      <c r="U319" s="31">
        <v>6.0260000000000001E-2</v>
      </c>
      <c r="V319" s="31">
        <v>0.29558000000000001</v>
      </c>
      <c r="W319" s="31">
        <v>0.18337999999999999</v>
      </c>
      <c r="X319" s="31">
        <v>52.662050000000001</v>
      </c>
    </row>
    <row r="320" spans="1:24" x14ac:dyDescent="0.25">
      <c r="A320">
        <v>1296</v>
      </c>
      <c r="B320"/>
      <c r="C320">
        <v>14056</v>
      </c>
      <c r="D320">
        <v>3198</v>
      </c>
      <c r="E320"/>
      <c r="F320"/>
      <c r="G320">
        <v>1205</v>
      </c>
      <c r="H320">
        <v>3202</v>
      </c>
      <c r="I320">
        <v>22957</v>
      </c>
      <c r="J320">
        <v>326</v>
      </c>
      <c r="K320">
        <v>13845</v>
      </c>
      <c r="L320">
        <v>8311</v>
      </c>
      <c r="M320">
        <v>17566</v>
      </c>
      <c r="N320">
        <v>5368</v>
      </c>
      <c r="O320" t="s">
        <v>668</v>
      </c>
      <c r="P320" t="s">
        <v>494</v>
      </c>
      <c r="Q320" s="31">
        <v>47890</v>
      </c>
      <c r="R320" s="31" t="s">
        <v>494</v>
      </c>
      <c r="S320" s="31" t="s">
        <v>668</v>
      </c>
      <c r="T320" s="31">
        <v>3.5899999999999999E-3</v>
      </c>
      <c r="U320" s="31">
        <v>6.9110000000000005E-2</v>
      </c>
      <c r="V320" s="31">
        <v>0.28203</v>
      </c>
      <c r="W320" s="31">
        <v>0.23527000000000001</v>
      </c>
      <c r="X320" s="31">
        <v>72.235129999999998</v>
      </c>
    </row>
    <row r="321" spans="1:24" x14ac:dyDescent="0.25">
      <c r="A321">
        <v>666</v>
      </c>
      <c r="B321"/>
      <c r="C321">
        <v>8252</v>
      </c>
      <c r="D321">
        <v>2673</v>
      </c>
      <c r="E321"/>
      <c r="F321"/>
      <c r="G321">
        <v>673</v>
      </c>
      <c r="H321">
        <v>890</v>
      </c>
      <c r="I321">
        <v>13154</v>
      </c>
      <c r="J321">
        <v>40</v>
      </c>
      <c r="K321">
        <v>9521</v>
      </c>
      <c r="L321">
        <v>3580</v>
      </c>
      <c r="M321">
        <v>10908</v>
      </c>
      <c r="N321">
        <v>2233</v>
      </c>
      <c r="O321" t="s">
        <v>542</v>
      </c>
      <c r="P321" t="s">
        <v>140</v>
      </c>
      <c r="Q321" s="31">
        <v>29630</v>
      </c>
      <c r="R321" s="31" t="s">
        <v>140</v>
      </c>
      <c r="S321" s="31" t="s">
        <v>542</v>
      </c>
      <c r="T321" s="31">
        <v>3.0000000000000001E-3</v>
      </c>
      <c r="U321" s="31">
        <v>9.1579999999999995E-2</v>
      </c>
      <c r="V321" s="31">
        <v>0.22059999999999999</v>
      </c>
      <c r="W321" s="31">
        <v>0.20077</v>
      </c>
      <c r="X321" s="31">
        <v>70.786929999999998</v>
      </c>
    </row>
    <row r="322" spans="1:24" x14ac:dyDescent="0.25">
      <c r="A322">
        <v>429</v>
      </c>
      <c r="B322"/>
      <c r="C322">
        <v>6096</v>
      </c>
      <c r="D322">
        <v>1941</v>
      </c>
      <c r="E322"/>
      <c r="F322"/>
      <c r="G322">
        <v>351</v>
      </c>
      <c r="H322">
        <v>710</v>
      </c>
      <c r="I322">
        <v>9527</v>
      </c>
      <c r="J322">
        <v>83</v>
      </c>
      <c r="K322">
        <v>7325</v>
      </c>
      <c r="L322">
        <v>2119</v>
      </c>
      <c r="M322">
        <v>8032</v>
      </c>
      <c r="N322">
        <v>1495</v>
      </c>
      <c r="O322" t="s">
        <v>734</v>
      </c>
      <c r="P322" t="s">
        <v>304</v>
      </c>
      <c r="Q322" s="31">
        <v>22445</v>
      </c>
      <c r="R322" s="31" t="s">
        <v>304</v>
      </c>
      <c r="S322" s="31" t="s">
        <v>734</v>
      </c>
      <c r="T322" s="31">
        <v>2.5999999999999999E-3</v>
      </c>
      <c r="U322" s="31">
        <v>8.7480000000000002E-2</v>
      </c>
      <c r="V322" s="31">
        <v>0.26429000000000002</v>
      </c>
      <c r="W322" s="31">
        <v>0.1845</v>
      </c>
      <c r="X322" s="31">
        <v>51.96264</v>
      </c>
    </row>
    <row r="323" spans="1:24" x14ac:dyDescent="0.25">
      <c r="A323">
        <v>540</v>
      </c>
      <c r="B323"/>
      <c r="C323">
        <v>17477</v>
      </c>
      <c r="D323">
        <v>2683</v>
      </c>
      <c r="E323"/>
      <c r="F323"/>
      <c r="G323">
        <v>259</v>
      </c>
      <c r="H323">
        <v>3001</v>
      </c>
      <c r="I323">
        <v>23960</v>
      </c>
      <c r="J323">
        <v>130</v>
      </c>
      <c r="K323">
        <v>16363</v>
      </c>
      <c r="L323">
        <v>7208</v>
      </c>
      <c r="M323">
        <v>19566</v>
      </c>
      <c r="N323">
        <v>4139</v>
      </c>
      <c r="O323" t="s">
        <v>702</v>
      </c>
      <c r="P323" t="s">
        <v>284</v>
      </c>
      <c r="Q323" s="31">
        <v>57005</v>
      </c>
      <c r="R323" s="31" t="s">
        <v>284</v>
      </c>
      <c r="S323" s="31" t="s">
        <v>702</v>
      </c>
      <c r="T323" s="31">
        <v>2.1199999999999999E-3</v>
      </c>
      <c r="U323" s="31">
        <v>5.203E-2</v>
      </c>
      <c r="V323" s="31">
        <v>0.35671999999999998</v>
      </c>
      <c r="W323" s="31">
        <v>0.14163000000000001</v>
      </c>
      <c r="X323" s="31">
        <v>35.220779999999998</v>
      </c>
    </row>
    <row r="324" spans="1:24" x14ac:dyDescent="0.25">
      <c r="A324">
        <v>449</v>
      </c>
      <c r="B324"/>
      <c r="C324">
        <v>10065</v>
      </c>
      <c r="D324">
        <v>3482</v>
      </c>
      <c r="E324"/>
      <c r="F324"/>
      <c r="G324">
        <v>923</v>
      </c>
      <c r="H324">
        <v>1103</v>
      </c>
      <c r="I324">
        <v>16022</v>
      </c>
      <c r="J324">
        <v>114</v>
      </c>
      <c r="K324">
        <v>12716</v>
      </c>
      <c r="L324">
        <v>3173</v>
      </c>
      <c r="M324">
        <v>14156</v>
      </c>
      <c r="N324">
        <v>1848</v>
      </c>
      <c r="O324" t="s">
        <v>603</v>
      </c>
      <c r="P324" t="s">
        <v>199</v>
      </c>
      <c r="Q324" s="31">
        <v>36165</v>
      </c>
      <c r="R324" s="31" t="s">
        <v>199</v>
      </c>
      <c r="S324" s="31" t="s">
        <v>603</v>
      </c>
      <c r="T324" s="31">
        <v>3.1700000000000001E-3</v>
      </c>
      <c r="U324" s="31">
        <v>9.7869999999999999E-2</v>
      </c>
      <c r="V324" s="31">
        <v>0.24479999999999999</v>
      </c>
      <c r="W324" s="31">
        <v>0.21662999999999999</v>
      </c>
      <c r="X324" s="31">
        <v>68.607060000000004</v>
      </c>
    </row>
    <row r="325" spans="1:24" x14ac:dyDescent="0.25">
      <c r="A325">
        <v>292</v>
      </c>
      <c r="B325"/>
      <c r="C325">
        <v>7419</v>
      </c>
      <c r="D325">
        <v>2070</v>
      </c>
      <c r="E325"/>
      <c r="F325"/>
      <c r="G325">
        <v>420</v>
      </c>
      <c r="H325">
        <v>730</v>
      </c>
      <c r="I325">
        <v>10931</v>
      </c>
      <c r="J325">
        <v>122</v>
      </c>
      <c r="K325">
        <v>8070</v>
      </c>
      <c r="L325">
        <v>2730</v>
      </c>
      <c r="M325">
        <v>9601</v>
      </c>
      <c r="N325">
        <v>1320</v>
      </c>
      <c r="O325" t="s">
        <v>777</v>
      </c>
      <c r="P325" t="s">
        <v>449</v>
      </c>
      <c r="Q325" s="31">
        <v>23870</v>
      </c>
      <c r="R325" s="31" t="s">
        <v>449</v>
      </c>
      <c r="S325" s="31" t="s">
        <v>777</v>
      </c>
      <c r="T325" s="31">
        <v>3.49E-3</v>
      </c>
      <c r="U325" s="31">
        <v>8.881E-2</v>
      </c>
      <c r="V325" s="31">
        <v>0.20891999999999999</v>
      </c>
      <c r="W325" s="31">
        <v>0.24292</v>
      </c>
      <c r="X325" s="31">
        <v>92.169849999999997</v>
      </c>
    </row>
    <row r="326" spans="1:24" x14ac:dyDescent="0.25">
      <c r="A326">
        <v>161</v>
      </c>
      <c r="B326"/>
      <c r="C326">
        <v>3595</v>
      </c>
      <c r="D326">
        <v>2969</v>
      </c>
      <c r="E326"/>
      <c r="F326"/>
      <c r="G326">
        <v>443</v>
      </c>
      <c r="H326">
        <v>612</v>
      </c>
      <c r="I326">
        <v>7780</v>
      </c>
      <c r="J326">
        <v>0</v>
      </c>
      <c r="K326">
        <v>4732</v>
      </c>
      <c r="L326">
        <v>3045</v>
      </c>
      <c r="M326">
        <v>6818</v>
      </c>
      <c r="N326">
        <v>959</v>
      </c>
      <c r="O326" t="s">
        <v>666</v>
      </c>
      <c r="P326" t="s">
        <v>252</v>
      </c>
      <c r="Q326" s="31">
        <v>15875</v>
      </c>
      <c r="R326" s="31" t="s">
        <v>252</v>
      </c>
      <c r="S326" s="31" t="s">
        <v>666</v>
      </c>
      <c r="T326" s="31">
        <v>2.8E-3</v>
      </c>
      <c r="U326" s="31">
        <v>0.18163000000000001</v>
      </c>
      <c r="V326" s="31">
        <v>0.12324</v>
      </c>
      <c r="W326" s="31">
        <v>0.21334</v>
      </c>
      <c r="X326" s="31">
        <v>94.323750000000004</v>
      </c>
    </row>
    <row r="327" spans="1:24" x14ac:dyDescent="0.25">
      <c r="A327">
        <v>392</v>
      </c>
      <c r="B327"/>
      <c r="C327">
        <v>8145</v>
      </c>
      <c r="D327">
        <v>2534</v>
      </c>
      <c r="E327"/>
      <c r="F327"/>
      <c r="G327">
        <v>804</v>
      </c>
      <c r="H327">
        <v>956</v>
      </c>
      <c r="I327">
        <v>12831</v>
      </c>
      <c r="J327">
        <v>0</v>
      </c>
      <c r="K327">
        <v>8652</v>
      </c>
      <c r="L327">
        <v>4179</v>
      </c>
      <c r="M327">
        <v>11070</v>
      </c>
      <c r="N327">
        <v>1763</v>
      </c>
      <c r="O327" t="s">
        <v>623</v>
      </c>
      <c r="P327" t="s">
        <v>216</v>
      </c>
      <c r="Q327" s="31">
        <v>29265</v>
      </c>
      <c r="R327" s="31" t="s">
        <v>216</v>
      </c>
      <c r="S327" s="31" t="s">
        <v>623</v>
      </c>
      <c r="T327" s="31">
        <v>2.7000000000000001E-3</v>
      </c>
      <c r="U327" s="31">
        <v>8.7370000000000003E-2</v>
      </c>
      <c r="V327" s="31">
        <v>0.21168000000000001</v>
      </c>
      <c r="W327" s="31">
        <v>0.17741999999999999</v>
      </c>
      <c r="X327" s="31">
        <v>66.740139999999997</v>
      </c>
    </row>
    <row r="328" spans="1:24" x14ac:dyDescent="0.25">
      <c r="A328">
        <v>306</v>
      </c>
      <c r="B328"/>
      <c r="C328">
        <v>9273</v>
      </c>
      <c r="D328">
        <v>2117</v>
      </c>
      <c r="E328"/>
      <c r="F328"/>
      <c r="G328">
        <v>661</v>
      </c>
      <c r="H328">
        <v>1113</v>
      </c>
      <c r="I328">
        <v>13470</v>
      </c>
      <c r="J328">
        <v>77</v>
      </c>
      <c r="K328">
        <v>8527</v>
      </c>
      <c r="L328">
        <v>4866</v>
      </c>
      <c r="M328">
        <v>11685</v>
      </c>
      <c r="N328">
        <v>1785</v>
      </c>
      <c r="O328" t="s">
        <v>799</v>
      </c>
      <c r="P328" t="s">
        <v>379</v>
      </c>
      <c r="Q328" s="31">
        <v>29290</v>
      </c>
      <c r="R328" s="31" t="s">
        <v>379</v>
      </c>
      <c r="S328" s="31" t="s">
        <v>799</v>
      </c>
      <c r="T328" s="31">
        <v>3.1800000000000001E-3</v>
      </c>
      <c r="U328" s="31">
        <v>7.3749999999999996E-2</v>
      </c>
      <c r="V328" s="31">
        <v>0.21192</v>
      </c>
      <c r="W328" s="31">
        <v>0.22045000000000001</v>
      </c>
      <c r="X328" s="31">
        <v>83.244630000000001</v>
      </c>
    </row>
    <row r="329" spans="1:24" x14ac:dyDescent="0.25">
      <c r="A329">
        <v>220</v>
      </c>
      <c r="B329"/>
      <c r="C329">
        <v>4851</v>
      </c>
      <c r="D329">
        <v>1220</v>
      </c>
      <c r="E329"/>
      <c r="F329"/>
      <c r="G329">
        <v>259</v>
      </c>
      <c r="H329">
        <v>205</v>
      </c>
      <c r="I329">
        <v>6755</v>
      </c>
      <c r="J329">
        <v>73</v>
      </c>
      <c r="K329">
        <v>5000</v>
      </c>
      <c r="L329">
        <v>1668</v>
      </c>
      <c r="M329">
        <v>6167</v>
      </c>
      <c r="N329">
        <v>574</v>
      </c>
      <c r="O329" t="s">
        <v>784</v>
      </c>
      <c r="P329" t="s">
        <v>363</v>
      </c>
      <c r="Q329" s="31">
        <v>15330</v>
      </c>
      <c r="R329" s="31" t="s">
        <v>363</v>
      </c>
      <c r="S329" s="31" t="s">
        <v>784</v>
      </c>
      <c r="T329" s="31">
        <v>3.3800000000000002E-3</v>
      </c>
      <c r="U329" s="31">
        <v>7.9619999999999996E-2</v>
      </c>
      <c r="V329" s="31">
        <v>0.24831</v>
      </c>
      <c r="W329" s="31">
        <v>0.22620000000000001</v>
      </c>
      <c r="X329" s="31">
        <v>78.078969999999998</v>
      </c>
    </row>
    <row r="330" spans="1:24" x14ac:dyDescent="0.25">
      <c r="A330">
        <v>287</v>
      </c>
      <c r="B330"/>
      <c r="C330">
        <v>6635</v>
      </c>
      <c r="D330">
        <v>1524</v>
      </c>
      <c r="E330"/>
      <c r="F330"/>
      <c r="G330">
        <v>432</v>
      </c>
      <c r="H330">
        <v>602</v>
      </c>
      <c r="I330">
        <v>9480</v>
      </c>
      <c r="J330">
        <v>7</v>
      </c>
      <c r="K330">
        <v>6142</v>
      </c>
      <c r="L330">
        <v>3295</v>
      </c>
      <c r="M330">
        <v>8284</v>
      </c>
      <c r="N330">
        <v>1160</v>
      </c>
      <c r="O330" t="s">
        <v>752</v>
      </c>
      <c r="P330" t="s">
        <v>318</v>
      </c>
      <c r="Q330" s="31">
        <v>21775</v>
      </c>
      <c r="R330" s="31" t="s">
        <v>318</v>
      </c>
      <c r="S330" s="31" t="s">
        <v>752</v>
      </c>
      <c r="T330" s="31">
        <v>2.97E-3</v>
      </c>
      <c r="U330" s="31">
        <v>7.2499999999999995E-2</v>
      </c>
      <c r="V330" s="31">
        <v>0.24382999999999999</v>
      </c>
      <c r="W330" s="31">
        <v>0.20446</v>
      </c>
      <c r="X330" s="31">
        <v>68.755070000000003</v>
      </c>
    </row>
    <row r="331" spans="1:24" x14ac:dyDescent="0.25">
      <c r="A331">
        <v>66</v>
      </c>
      <c r="B331"/>
      <c r="C331">
        <v>2510</v>
      </c>
      <c r="D331">
        <v>1894</v>
      </c>
      <c r="E331"/>
      <c r="F331"/>
      <c r="G331">
        <v>683</v>
      </c>
      <c r="H331">
        <v>159</v>
      </c>
      <c r="I331">
        <v>5312</v>
      </c>
      <c r="J331">
        <v>72</v>
      </c>
      <c r="K331">
        <v>3758</v>
      </c>
      <c r="L331">
        <v>1478</v>
      </c>
      <c r="M331">
        <v>5038</v>
      </c>
      <c r="N331">
        <v>270</v>
      </c>
      <c r="O331" t="s">
        <v>831</v>
      </c>
      <c r="P331" t="s">
        <v>402</v>
      </c>
      <c r="Q331" s="31">
        <v>10155</v>
      </c>
      <c r="R331" s="31" t="s">
        <v>402</v>
      </c>
      <c r="S331" s="31" t="s">
        <v>831</v>
      </c>
      <c r="T331" s="31">
        <v>3.0999999999999999E-3</v>
      </c>
      <c r="U331" s="31">
        <v>0.18029999999999999</v>
      </c>
      <c r="V331" s="31">
        <v>0.14554</v>
      </c>
      <c r="W331" s="31">
        <v>0.22483</v>
      </c>
      <c r="X331" s="31">
        <v>87.753739999999993</v>
      </c>
    </row>
    <row r="332" spans="1:24" x14ac:dyDescent="0.25">
      <c r="A332">
        <v>114</v>
      </c>
      <c r="B332"/>
      <c r="C332">
        <v>3491</v>
      </c>
      <c r="D332">
        <v>1230</v>
      </c>
      <c r="E332"/>
      <c r="F332"/>
      <c r="G332">
        <v>169</v>
      </c>
      <c r="H332">
        <v>302</v>
      </c>
      <c r="I332">
        <v>5306</v>
      </c>
      <c r="J332">
        <v>40</v>
      </c>
      <c r="K332">
        <v>3979</v>
      </c>
      <c r="L332">
        <v>1288</v>
      </c>
      <c r="M332">
        <v>4768</v>
      </c>
      <c r="N332">
        <v>538</v>
      </c>
      <c r="O332" t="s">
        <v>835</v>
      </c>
      <c r="P332" t="s">
        <v>396</v>
      </c>
      <c r="Q332" s="31">
        <v>12695</v>
      </c>
      <c r="R332" s="31" t="s">
        <v>396</v>
      </c>
      <c r="S332" s="31" t="s">
        <v>835</v>
      </c>
      <c r="T332" s="31">
        <v>2.4299999999999999E-3</v>
      </c>
      <c r="U332" s="31">
        <v>9.7280000000000005E-2</v>
      </c>
      <c r="V332" s="31">
        <v>0.21239</v>
      </c>
      <c r="W332" s="31">
        <v>0.17454</v>
      </c>
      <c r="X332" s="31">
        <v>60.833910000000003</v>
      </c>
    </row>
    <row r="333" spans="1:24" x14ac:dyDescent="0.25">
      <c r="A333">
        <v>153</v>
      </c>
      <c r="B333"/>
      <c r="C333">
        <v>6926</v>
      </c>
      <c r="D333">
        <v>1813</v>
      </c>
      <c r="E333"/>
      <c r="F333"/>
      <c r="G333">
        <v>219</v>
      </c>
      <c r="H333">
        <v>624</v>
      </c>
      <c r="I333">
        <v>9735</v>
      </c>
      <c r="J333">
        <v>81</v>
      </c>
      <c r="K333">
        <v>7199</v>
      </c>
      <c r="L333">
        <v>2445</v>
      </c>
      <c r="M333">
        <v>8793</v>
      </c>
      <c r="N333">
        <v>932</v>
      </c>
      <c r="O333" t="s">
        <v>736</v>
      </c>
      <c r="P333" t="s">
        <v>306</v>
      </c>
      <c r="Q333" s="31">
        <v>20780</v>
      </c>
      <c r="R333" s="31" t="s">
        <v>306</v>
      </c>
      <c r="S333" s="31" t="s">
        <v>736</v>
      </c>
      <c r="T333" s="31">
        <v>3.48E-3</v>
      </c>
      <c r="U333" s="31">
        <v>8.8200000000000001E-2</v>
      </c>
      <c r="V333" s="31">
        <v>0.25324999999999998</v>
      </c>
      <c r="W333" s="31">
        <v>0.24031</v>
      </c>
      <c r="X333" s="31">
        <v>79.114310000000003</v>
      </c>
    </row>
    <row r="334" spans="1:24" x14ac:dyDescent="0.25">
      <c r="A334">
        <v>2220</v>
      </c>
      <c r="B334"/>
      <c r="C334">
        <v>22223</v>
      </c>
      <c r="D334">
        <v>7292</v>
      </c>
      <c r="E334"/>
      <c r="F334"/>
      <c r="G334">
        <v>809</v>
      </c>
      <c r="H334">
        <v>4141</v>
      </c>
      <c r="I334">
        <v>36685</v>
      </c>
      <c r="J334">
        <v>23</v>
      </c>
      <c r="K334">
        <v>22941</v>
      </c>
      <c r="L334">
        <v>13704</v>
      </c>
      <c r="M334">
        <v>28332</v>
      </c>
      <c r="N334">
        <v>8335</v>
      </c>
      <c r="O334" t="s">
        <v>617</v>
      </c>
      <c r="P334" t="s">
        <v>210</v>
      </c>
      <c r="Q334" s="31">
        <v>76915</v>
      </c>
      <c r="R334" s="31" t="s">
        <v>210</v>
      </c>
      <c r="S334" s="31" t="s">
        <v>617</v>
      </c>
      <c r="T334" s="31">
        <v>3.16E-3</v>
      </c>
      <c r="U334" s="31">
        <v>9.826E-2</v>
      </c>
      <c r="V334" s="31">
        <v>0.20091000000000001</v>
      </c>
      <c r="W334" s="31">
        <v>0.20072999999999999</v>
      </c>
      <c r="X334" s="31">
        <v>79.765029999999996</v>
      </c>
    </row>
    <row r="335" spans="1:24" x14ac:dyDescent="0.25">
      <c r="A335">
        <v>330</v>
      </c>
      <c r="B335"/>
      <c r="C335">
        <v>10888</v>
      </c>
      <c r="D335">
        <v>3965</v>
      </c>
      <c r="E335"/>
      <c r="F335"/>
      <c r="G335">
        <v>671</v>
      </c>
      <c r="H335">
        <v>1304</v>
      </c>
      <c r="I335">
        <v>17158</v>
      </c>
      <c r="J335">
        <v>199</v>
      </c>
      <c r="K335">
        <v>11267</v>
      </c>
      <c r="L335">
        <v>5678</v>
      </c>
      <c r="M335">
        <v>15329</v>
      </c>
      <c r="N335">
        <v>1817</v>
      </c>
      <c r="O335" t="s">
        <v>627</v>
      </c>
      <c r="P335" t="s">
        <v>220</v>
      </c>
      <c r="Q335" s="31">
        <v>33750</v>
      </c>
      <c r="R335" s="31" t="s">
        <v>220</v>
      </c>
      <c r="S335" s="31" t="s">
        <v>627</v>
      </c>
      <c r="T335" s="31">
        <v>3.5899999999999999E-3</v>
      </c>
      <c r="U335" s="31">
        <v>0.11908000000000001</v>
      </c>
      <c r="V335" s="31">
        <v>0.23233000000000001</v>
      </c>
      <c r="W335" s="31">
        <v>0.25457000000000002</v>
      </c>
      <c r="X335" s="31">
        <v>80.320359999999994</v>
      </c>
    </row>
    <row r="336" spans="1:24" x14ac:dyDescent="0.25">
      <c r="A336">
        <v>560</v>
      </c>
      <c r="B336"/>
      <c r="C336">
        <v>6247</v>
      </c>
      <c r="D336">
        <v>3965</v>
      </c>
      <c r="E336"/>
      <c r="F336"/>
      <c r="G336">
        <v>1521</v>
      </c>
      <c r="H336">
        <v>582</v>
      </c>
      <c r="I336">
        <v>12875</v>
      </c>
      <c r="J336">
        <v>161</v>
      </c>
      <c r="K336">
        <v>8796</v>
      </c>
      <c r="L336">
        <v>3726</v>
      </c>
      <c r="M336">
        <v>11568</v>
      </c>
      <c r="N336">
        <v>1115</v>
      </c>
      <c r="O336" t="s">
        <v>715</v>
      </c>
      <c r="P336" t="s">
        <v>476</v>
      </c>
      <c r="Q336" s="31">
        <v>25250</v>
      </c>
      <c r="R336" s="31" t="s">
        <v>476</v>
      </c>
      <c r="S336" s="31" t="s">
        <v>715</v>
      </c>
      <c r="T336" s="31">
        <v>3.46E-3</v>
      </c>
      <c r="U336" s="31">
        <v>0.15432000000000001</v>
      </c>
      <c r="V336" s="31">
        <v>0.19505</v>
      </c>
      <c r="W336" s="31">
        <v>0.24304000000000001</v>
      </c>
      <c r="X336" s="31">
        <v>74.702579999999998</v>
      </c>
    </row>
    <row r="337" spans="1:24" x14ac:dyDescent="0.25">
      <c r="A337">
        <v>181</v>
      </c>
      <c r="B337"/>
      <c r="C337">
        <v>6766</v>
      </c>
      <c r="D337">
        <v>3771</v>
      </c>
      <c r="E337"/>
      <c r="F337"/>
      <c r="G337">
        <v>546</v>
      </c>
      <c r="H337">
        <v>561</v>
      </c>
      <c r="I337">
        <v>11825</v>
      </c>
      <c r="J337">
        <v>2</v>
      </c>
      <c r="K337">
        <v>8342</v>
      </c>
      <c r="L337">
        <v>3417</v>
      </c>
      <c r="M337">
        <v>10847</v>
      </c>
      <c r="N337">
        <v>914</v>
      </c>
      <c r="O337" t="s">
        <v>903</v>
      </c>
      <c r="P337" t="s">
        <v>406</v>
      </c>
      <c r="Q337" s="31">
        <v>25540</v>
      </c>
      <c r="R337" s="31" t="s">
        <v>406</v>
      </c>
      <c r="S337" s="31" t="s">
        <v>903</v>
      </c>
      <c r="T337" s="31">
        <v>3.2100000000000002E-3</v>
      </c>
      <c r="U337" s="31">
        <v>0.15021999999999999</v>
      </c>
      <c r="V337" s="31">
        <v>0.18684999999999999</v>
      </c>
      <c r="W337" s="31">
        <v>0.23172000000000001</v>
      </c>
      <c r="X337" s="31">
        <v>82.164829999999995</v>
      </c>
    </row>
    <row r="338" spans="1:24" x14ac:dyDescent="0.25">
      <c r="A338">
        <v>483</v>
      </c>
      <c r="B338"/>
      <c r="C338">
        <v>7234</v>
      </c>
      <c r="D338">
        <v>2084</v>
      </c>
      <c r="E338"/>
      <c r="F338"/>
      <c r="G338">
        <v>302</v>
      </c>
      <c r="H338">
        <v>1140</v>
      </c>
      <c r="I338">
        <v>11243</v>
      </c>
      <c r="J338">
        <v>25</v>
      </c>
      <c r="K338">
        <v>6983</v>
      </c>
      <c r="L338">
        <v>4207</v>
      </c>
      <c r="M338">
        <v>9067</v>
      </c>
      <c r="N338">
        <v>2148</v>
      </c>
      <c r="O338" t="s">
        <v>787</v>
      </c>
      <c r="P338" t="s">
        <v>366</v>
      </c>
      <c r="Q338" s="31">
        <v>24745</v>
      </c>
      <c r="R338" s="31" t="s">
        <v>366</v>
      </c>
      <c r="S338" s="31" t="s">
        <v>787</v>
      </c>
      <c r="T338" s="31">
        <v>3.1099999999999999E-3</v>
      </c>
      <c r="U338" s="31">
        <v>8.9429999999999996E-2</v>
      </c>
      <c r="V338" s="31">
        <v>0.22924</v>
      </c>
      <c r="W338" s="31">
        <v>0.19830999999999999</v>
      </c>
      <c r="X338" s="31">
        <v>72.654409999999999</v>
      </c>
    </row>
    <row r="339" spans="1:24" x14ac:dyDescent="0.25">
      <c r="A339">
        <v>171</v>
      </c>
      <c r="B339"/>
      <c r="C339">
        <v>4031</v>
      </c>
      <c r="D339">
        <v>1273</v>
      </c>
      <c r="E339"/>
      <c r="F339"/>
      <c r="G339">
        <v>346</v>
      </c>
      <c r="H339">
        <v>473</v>
      </c>
      <c r="I339">
        <v>6294</v>
      </c>
      <c r="J339">
        <v>120</v>
      </c>
      <c r="K339">
        <v>4577</v>
      </c>
      <c r="L339">
        <v>1580</v>
      </c>
      <c r="M339">
        <v>5552</v>
      </c>
      <c r="N339">
        <v>725</v>
      </c>
      <c r="O339" t="s">
        <v>859</v>
      </c>
      <c r="P339" t="s">
        <v>440</v>
      </c>
      <c r="Q339" s="31">
        <v>15445</v>
      </c>
      <c r="R339" s="31" t="s">
        <v>440</v>
      </c>
      <c r="S339" s="31" t="s">
        <v>859</v>
      </c>
      <c r="T339" s="31">
        <v>2.9199999999999999E-3</v>
      </c>
      <c r="U339" s="31">
        <v>8.7309999999999999E-2</v>
      </c>
      <c r="V339" s="31">
        <v>0.23641000000000001</v>
      </c>
      <c r="W339" s="31">
        <v>0.19583999999999999</v>
      </c>
      <c r="X339" s="31">
        <v>64.705560000000006</v>
      </c>
    </row>
    <row r="340" spans="1:24" x14ac:dyDescent="0.25">
      <c r="A340">
        <v>300</v>
      </c>
      <c r="B340"/>
      <c r="C340">
        <v>5939</v>
      </c>
      <c r="D340">
        <v>2699</v>
      </c>
      <c r="E340"/>
      <c r="F340"/>
      <c r="G340">
        <v>736</v>
      </c>
      <c r="H340">
        <v>814</v>
      </c>
      <c r="I340">
        <v>10488</v>
      </c>
      <c r="J340">
        <v>255</v>
      </c>
      <c r="K340">
        <v>7711</v>
      </c>
      <c r="L340">
        <v>2495</v>
      </c>
      <c r="M340">
        <v>9225</v>
      </c>
      <c r="N340">
        <v>1236</v>
      </c>
      <c r="O340" t="s">
        <v>628</v>
      </c>
      <c r="P340" t="s">
        <v>221</v>
      </c>
      <c r="Q340" s="31">
        <v>23945</v>
      </c>
      <c r="R340" s="31" t="s">
        <v>221</v>
      </c>
      <c r="S340" s="31" t="s">
        <v>628</v>
      </c>
      <c r="T340" s="31">
        <v>3.2000000000000002E-3</v>
      </c>
      <c r="U340" s="31">
        <v>0.12034</v>
      </c>
      <c r="V340" s="31">
        <v>0.20276</v>
      </c>
      <c r="W340" s="31">
        <v>0.22484999999999999</v>
      </c>
      <c r="X340" s="31">
        <v>74.862369999999999</v>
      </c>
    </row>
    <row r="341" spans="1:24" x14ac:dyDescent="0.25">
      <c r="A341">
        <v>124</v>
      </c>
      <c r="B341"/>
      <c r="C341">
        <v>2563</v>
      </c>
      <c r="D341">
        <v>1432</v>
      </c>
      <c r="E341"/>
      <c r="F341"/>
      <c r="G341">
        <v>299</v>
      </c>
      <c r="H341">
        <v>204</v>
      </c>
      <c r="I341">
        <v>4622</v>
      </c>
      <c r="J341">
        <v>23</v>
      </c>
      <c r="K341">
        <v>3500</v>
      </c>
      <c r="L341">
        <v>1092</v>
      </c>
      <c r="M341">
        <v>4333</v>
      </c>
      <c r="N341">
        <v>283</v>
      </c>
      <c r="O341" t="s">
        <v>855</v>
      </c>
      <c r="P341" t="s">
        <v>423</v>
      </c>
      <c r="Q341" s="31">
        <v>7485</v>
      </c>
      <c r="R341" s="31" t="s">
        <v>423</v>
      </c>
      <c r="S341" s="31" t="s">
        <v>855</v>
      </c>
      <c r="T341" s="31">
        <v>3.6600000000000001E-3</v>
      </c>
      <c r="U341" s="31">
        <v>0.18929000000000001</v>
      </c>
      <c r="V341" s="31">
        <v>0.22946</v>
      </c>
      <c r="W341" s="31">
        <v>0.25657000000000002</v>
      </c>
      <c r="X341" s="31">
        <v>74.058819999999997</v>
      </c>
    </row>
    <row r="342" spans="1:24" x14ac:dyDescent="0.25">
      <c r="A342">
        <v>688</v>
      </c>
      <c r="B342"/>
      <c r="C342">
        <v>7617</v>
      </c>
      <c r="D342">
        <v>1515</v>
      </c>
      <c r="E342"/>
      <c r="F342"/>
      <c r="G342">
        <v>276</v>
      </c>
      <c r="H342">
        <v>694</v>
      </c>
      <c r="I342">
        <v>10790</v>
      </c>
      <c r="J342">
        <v>14</v>
      </c>
      <c r="K342">
        <v>7341</v>
      </c>
      <c r="L342">
        <v>3436</v>
      </c>
      <c r="M342">
        <v>9054</v>
      </c>
      <c r="N342">
        <v>1736</v>
      </c>
      <c r="O342" t="s">
        <v>891</v>
      </c>
      <c r="P342" t="s">
        <v>525</v>
      </c>
      <c r="Q342" s="31">
        <v>23160</v>
      </c>
      <c r="R342" s="31" t="s">
        <v>525</v>
      </c>
      <c r="S342" s="31" t="s">
        <v>891</v>
      </c>
      <c r="T342" s="31">
        <v>3.29E-3</v>
      </c>
      <c r="U342" s="31">
        <v>7.2160000000000002E-2</v>
      </c>
      <c r="V342" s="31">
        <v>0.29576000000000002</v>
      </c>
      <c r="W342" s="31">
        <v>0.23532</v>
      </c>
      <c r="X342" s="31">
        <v>62.486159999999998</v>
      </c>
    </row>
    <row r="343" spans="1:24" x14ac:dyDescent="0.25">
      <c r="A343">
        <v>228</v>
      </c>
      <c r="B343"/>
      <c r="C343">
        <v>8863</v>
      </c>
      <c r="D343">
        <v>3876</v>
      </c>
      <c r="E343"/>
      <c r="F343"/>
      <c r="G343">
        <v>644</v>
      </c>
      <c r="H343">
        <v>1385</v>
      </c>
      <c r="I343">
        <v>14996</v>
      </c>
      <c r="J343">
        <v>199</v>
      </c>
      <c r="K343">
        <v>10386</v>
      </c>
      <c r="L343">
        <v>4368</v>
      </c>
      <c r="M343">
        <v>12969</v>
      </c>
      <c r="N343">
        <v>1984</v>
      </c>
      <c r="O343" t="s">
        <v>779</v>
      </c>
      <c r="P343" t="s">
        <v>343</v>
      </c>
      <c r="Q343" s="31">
        <v>31010</v>
      </c>
      <c r="R343" s="31" t="s">
        <v>343</v>
      </c>
      <c r="S343" s="31" t="s">
        <v>779</v>
      </c>
      <c r="T343" s="31">
        <v>3.81E-3</v>
      </c>
      <c r="U343" s="31">
        <v>0.12537000000000001</v>
      </c>
      <c r="V343" s="31">
        <v>0.22900000000000001</v>
      </c>
      <c r="W343" s="31">
        <v>0.25319999999999998</v>
      </c>
      <c r="X343" s="31">
        <v>82.432580000000002</v>
      </c>
    </row>
    <row r="344" spans="1:24" x14ac:dyDescent="0.25">
      <c r="A344">
        <v>616</v>
      </c>
      <c r="B344"/>
      <c r="C344">
        <v>9796</v>
      </c>
      <c r="D344">
        <v>2318</v>
      </c>
      <c r="E344"/>
      <c r="F344"/>
      <c r="G344">
        <v>539</v>
      </c>
      <c r="H344">
        <v>896</v>
      </c>
      <c r="I344">
        <v>14165</v>
      </c>
      <c r="J344">
        <v>106</v>
      </c>
      <c r="K344">
        <v>8781</v>
      </c>
      <c r="L344">
        <v>5270</v>
      </c>
      <c r="M344">
        <v>12146</v>
      </c>
      <c r="N344">
        <v>2011</v>
      </c>
      <c r="O344" t="s">
        <v>706</v>
      </c>
      <c r="P344" t="s">
        <v>288</v>
      </c>
      <c r="Q344" s="31">
        <v>33860</v>
      </c>
      <c r="R344" s="31" t="s">
        <v>288</v>
      </c>
      <c r="S344" s="31" t="s">
        <v>706</v>
      </c>
      <c r="T344" s="31">
        <v>2.4499999999999999E-3</v>
      </c>
      <c r="U344" s="31">
        <v>6.9139999999999993E-2</v>
      </c>
      <c r="V344" s="31">
        <v>0.19281000000000001</v>
      </c>
      <c r="W344" s="31">
        <v>0.17305000000000001</v>
      </c>
      <c r="X344" s="31">
        <v>70.99812</v>
      </c>
    </row>
    <row r="345" spans="1:24" x14ac:dyDescent="0.25">
      <c r="A345">
        <v>158</v>
      </c>
      <c r="B345"/>
      <c r="C345">
        <v>4740</v>
      </c>
      <c r="D345">
        <v>2496</v>
      </c>
      <c r="E345"/>
      <c r="F345"/>
      <c r="G345">
        <v>737</v>
      </c>
      <c r="H345">
        <v>366</v>
      </c>
      <c r="I345">
        <v>8497</v>
      </c>
      <c r="J345">
        <v>47</v>
      </c>
      <c r="K345">
        <v>5953</v>
      </c>
      <c r="L345">
        <v>2415</v>
      </c>
      <c r="M345">
        <v>7785</v>
      </c>
      <c r="N345">
        <v>629</v>
      </c>
      <c r="O345" t="s">
        <v>740</v>
      </c>
      <c r="P345" t="s">
        <v>310</v>
      </c>
      <c r="Q345" s="31">
        <v>18850</v>
      </c>
      <c r="R345" s="31" t="s">
        <v>310</v>
      </c>
      <c r="S345" s="31" t="s">
        <v>740</v>
      </c>
      <c r="T345" s="31">
        <v>3.9399999999999999E-3</v>
      </c>
      <c r="U345" s="31">
        <v>0.13805000000000001</v>
      </c>
      <c r="V345" s="31">
        <v>0.21498999999999999</v>
      </c>
      <c r="W345" s="31">
        <v>0.26468000000000003</v>
      </c>
      <c r="X345" s="31">
        <v>85.664360000000002</v>
      </c>
    </row>
    <row r="346" spans="1:24" x14ac:dyDescent="0.25">
      <c r="A346">
        <v>165</v>
      </c>
      <c r="B346"/>
      <c r="C346">
        <v>2836</v>
      </c>
      <c r="D346">
        <v>1119</v>
      </c>
      <c r="E346"/>
      <c r="F346"/>
      <c r="G346">
        <v>562</v>
      </c>
      <c r="H346">
        <v>243</v>
      </c>
      <c r="I346">
        <v>4925</v>
      </c>
      <c r="J346">
        <v>65</v>
      </c>
      <c r="K346">
        <v>3719</v>
      </c>
      <c r="L346">
        <v>1141</v>
      </c>
      <c r="M346">
        <v>4436</v>
      </c>
      <c r="N346">
        <v>489</v>
      </c>
      <c r="O346" t="s">
        <v>901</v>
      </c>
      <c r="P346" t="s">
        <v>465</v>
      </c>
      <c r="Q346" s="31">
        <v>11670</v>
      </c>
      <c r="R346" s="31" t="s">
        <v>465</v>
      </c>
      <c r="S346" s="31" t="s">
        <v>901</v>
      </c>
      <c r="T346" s="31">
        <v>3.0400000000000002E-3</v>
      </c>
      <c r="U346" s="31">
        <v>9.5899999999999999E-2</v>
      </c>
      <c r="V346" s="31">
        <v>0.2248</v>
      </c>
      <c r="W346" s="31">
        <v>0.19742999999999999</v>
      </c>
      <c r="X346" s="31">
        <v>68.884129999999999</v>
      </c>
    </row>
    <row r="347" spans="1:24" x14ac:dyDescent="0.25">
      <c r="A347">
        <v>820</v>
      </c>
      <c r="B347"/>
      <c r="C347">
        <v>13498</v>
      </c>
      <c r="D347">
        <v>3420</v>
      </c>
      <c r="E347"/>
      <c r="F347"/>
      <c r="G347">
        <v>441</v>
      </c>
      <c r="H347">
        <v>1716</v>
      </c>
      <c r="I347">
        <v>19895</v>
      </c>
      <c r="J347">
        <v>2</v>
      </c>
      <c r="K347">
        <v>13511</v>
      </c>
      <c r="L347">
        <v>6363</v>
      </c>
      <c r="M347">
        <v>16814</v>
      </c>
      <c r="N347">
        <v>3062</v>
      </c>
      <c r="O347" t="s">
        <v>846</v>
      </c>
      <c r="P347" t="s">
        <v>414</v>
      </c>
      <c r="Q347" s="31">
        <v>45725</v>
      </c>
      <c r="R347" s="31" t="s">
        <v>414</v>
      </c>
      <c r="S347" s="31" t="s">
        <v>846</v>
      </c>
      <c r="T347" s="31">
        <v>2.6700000000000001E-3</v>
      </c>
      <c r="U347" s="31">
        <v>7.5190000000000007E-2</v>
      </c>
      <c r="V347" s="31">
        <v>0.22919</v>
      </c>
      <c r="W347" s="31">
        <v>0.19012000000000001</v>
      </c>
      <c r="X347" s="31">
        <v>64.171199999999999</v>
      </c>
    </row>
    <row r="348" spans="1:24" x14ac:dyDescent="0.25">
      <c r="A348">
        <v>241</v>
      </c>
      <c r="B348"/>
      <c r="C348">
        <v>6283</v>
      </c>
      <c r="D348">
        <v>1730</v>
      </c>
      <c r="E348"/>
      <c r="F348"/>
      <c r="G348">
        <v>337</v>
      </c>
      <c r="H348">
        <v>265</v>
      </c>
      <c r="I348">
        <v>8856</v>
      </c>
      <c r="J348">
        <v>45</v>
      </c>
      <c r="K348">
        <v>6600</v>
      </c>
      <c r="L348">
        <v>2191</v>
      </c>
      <c r="M348">
        <v>8098</v>
      </c>
      <c r="N348">
        <v>737</v>
      </c>
      <c r="O348" t="s">
        <v>900</v>
      </c>
      <c r="P348" t="s">
        <v>464</v>
      </c>
      <c r="Q348" s="31">
        <v>20305</v>
      </c>
      <c r="R348" s="31" t="s">
        <v>464</v>
      </c>
      <c r="S348" s="31" t="s">
        <v>900</v>
      </c>
      <c r="T348" s="31">
        <v>3.0400000000000002E-3</v>
      </c>
      <c r="U348" s="31">
        <v>8.8319999999999996E-2</v>
      </c>
      <c r="V348" s="31">
        <v>0.23465</v>
      </c>
      <c r="W348" s="31">
        <v>0.21795999999999999</v>
      </c>
      <c r="X348" s="31">
        <v>73.204560000000001</v>
      </c>
    </row>
    <row r="349" spans="1:24" x14ac:dyDescent="0.25">
      <c r="A349">
        <v>790</v>
      </c>
      <c r="B349"/>
      <c r="C349">
        <v>12543</v>
      </c>
      <c r="D349">
        <v>4293</v>
      </c>
      <c r="E349"/>
      <c r="F349"/>
      <c r="G349">
        <v>1585</v>
      </c>
      <c r="H349">
        <v>1869</v>
      </c>
      <c r="I349">
        <v>21080</v>
      </c>
      <c r="J349">
        <v>64</v>
      </c>
      <c r="K349">
        <v>12935</v>
      </c>
      <c r="L349">
        <v>7945</v>
      </c>
      <c r="M349">
        <v>17808</v>
      </c>
      <c r="N349">
        <v>3135</v>
      </c>
      <c r="O349" t="s">
        <v>723</v>
      </c>
      <c r="P349" t="s">
        <v>484</v>
      </c>
      <c r="Q349" s="31">
        <v>42980</v>
      </c>
      <c r="R349" s="31" t="s">
        <v>484</v>
      </c>
      <c r="S349" s="31" t="s">
        <v>723</v>
      </c>
      <c r="T349" s="31">
        <v>3.14E-3</v>
      </c>
      <c r="U349" s="31">
        <v>0.10125000000000001</v>
      </c>
      <c r="V349" s="31">
        <v>0.1933</v>
      </c>
      <c r="W349" s="31">
        <v>0.20906</v>
      </c>
      <c r="X349" s="31">
        <v>80.964340000000007</v>
      </c>
    </row>
    <row r="350" spans="1:24" x14ac:dyDescent="0.25">
      <c r="A350">
        <v>319</v>
      </c>
      <c r="B350"/>
      <c r="C350">
        <v>12059</v>
      </c>
      <c r="D350">
        <v>2502</v>
      </c>
      <c r="E350"/>
      <c r="F350"/>
      <c r="G350">
        <v>451</v>
      </c>
      <c r="H350">
        <v>1698</v>
      </c>
      <c r="I350">
        <v>17029</v>
      </c>
      <c r="J350">
        <v>15</v>
      </c>
      <c r="K350">
        <v>11076</v>
      </c>
      <c r="L350">
        <v>5889</v>
      </c>
      <c r="M350">
        <v>14689</v>
      </c>
      <c r="N350">
        <v>2291</v>
      </c>
      <c r="O350" t="s">
        <v>601</v>
      </c>
      <c r="P350" t="s">
        <v>196</v>
      </c>
      <c r="Q350" s="31">
        <v>36645</v>
      </c>
      <c r="R350" s="31" t="s">
        <v>196</v>
      </c>
      <c r="S350" s="31" t="s">
        <v>601</v>
      </c>
      <c r="T350" s="31">
        <v>2.9199999999999999E-3</v>
      </c>
      <c r="U350" s="31">
        <v>7.6039999999999996E-2</v>
      </c>
      <c r="V350" s="31">
        <v>0.22955999999999999</v>
      </c>
      <c r="W350" s="31">
        <v>0.20200000000000001</v>
      </c>
      <c r="X350" s="31">
        <v>72.94941</v>
      </c>
    </row>
    <row r="351" spans="1:24" x14ac:dyDescent="0.25">
      <c r="A351">
        <v>620</v>
      </c>
      <c r="B351"/>
      <c r="C351">
        <v>9435</v>
      </c>
      <c r="D351">
        <v>3036</v>
      </c>
      <c r="E351"/>
      <c r="F351"/>
      <c r="G351">
        <v>570</v>
      </c>
      <c r="H351">
        <v>1194</v>
      </c>
      <c r="I351">
        <v>14855</v>
      </c>
      <c r="J351">
        <v>114</v>
      </c>
      <c r="K351">
        <v>10210</v>
      </c>
      <c r="L351">
        <v>4389</v>
      </c>
      <c r="M351">
        <v>12526</v>
      </c>
      <c r="N351">
        <v>2188</v>
      </c>
      <c r="O351" t="s">
        <v>912</v>
      </c>
      <c r="P351" t="s">
        <v>492</v>
      </c>
      <c r="Q351" s="31">
        <v>31865</v>
      </c>
      <c r="R351" s="31" t="s">
        <v>492</v>
      </c>
      <c r="S351" s="31" t="s">
        <v>912</v>
      </c>
      <c r="T351" s="31">
        <v>3.3600000000000001E-3</v>
      </c>
      <c r="U351" s="31">
        <v>9.7220000000000001E-2</v>
      </c>
      <c r="V351" s="31">
        <v>0.19688</v>
      </c>
      <c r="W351" s="31">
        <v>0.22928000000000001</v>
      </c>
      <c r="X351" s="31">
        <v>88.886790000000005</v>
      </c>
    </row>
    <row r="352" spans="1:24" x14ac:dyDescent="0.25">
      <c r="A352">
        <v>488</v>
      </c>
      <c r="B352"/>
      <c r="C352">
        <v>8975</v>
      </c>
      <c r="D352">
        <v>3817</v>
      </c>
      <c r="E352"/>
      <c r="F352"/>
      <c r="G352">
        <v>2532</v>
      </c>
      <c r="H352">
        <v>1495</v>
      </c>
      <c r="I352">
        <v>17307</v>
      </c>
      <c r="J352">
        <v>604</v>
      </c>
      <c r="K352">
        <v>11785</v>
      </c>
      <c r="L352">
        <v>4308</v>
      </c>
      <c r="M352">
        <v>13950</v>
      </c>
      <c r="N352">
        <v>2746</v>
      </c>
      <c r="O352" t="s">
        <v>558</v>
      </c>
      <c r="P352" t="s">
        <v>346</v>
      </c>
      <c r="Q352" s="31">
        <v>23760</v>
      </c>
      <c r="R352" s="31" t="s">
        <v>346</v>
      </c>
      <c r="S352" s="31" t="s">
        <v>558</v>
      </c>
      <c r="T352" s="31">
        <v>3.9199999999999999E-3</v>
      </c>
      <c r="U352" s="31">
        <v>0.18204000000000001</v>
      </c>
      <c r="V352" s="31">
        <v>0.18987000000000001</v>
      </c>
      <c r="W352" s="31">
        <v>0.26569999999999999</v>
      </c>
      <c r="X352" s="31">
        <v>91.672730000000001</v>
      </c>
    </row>
    <row r="353" spans="1:24" x14ac:dyDescent="0.25">
      <c r="A353">
        <v>328</v>
      </c>
      <c r="B353"/>
      <c r="C353">
        <v>8420</v>
      </c>
      <c r="D353">
        <v>1699</v>
      </c>
      <c r="E353"/>
      <c r="F353"/>
      <c r="G353">
        <v>438</v>
      </c>
      <c r="H353">
        <v>817</v>
      </c>
      <c r="I353">
        <v>11702</v>
      </c>
      <c r="J353">
        <v>55</v>
      </c>
      <c r="K353">
        <v>7653</v>
      </c>
      <c r="L353">
        <v>3953</v>
      </c>
      <c r="M353">
        <v>10186</v>
      </c>
      <c r="N353">
        <v>1475</v>
      </c>
      <c r="O353" t="s">
        <v>677</v>
      </c>
      <c r="P353" t="s">
        <v>259</v>
      </c>
      <c r="Q353" s="31">
        <v>26675</v>
      </c>
      <c r="R353" s="31" t="s">
        <v>259</v>
      </c>
      <c r="S353" s="31" t="s">
        <v>677</v>
      </c>
      <c r="T353" s="31">
        <v>2.8400000000000001E-3</v>
      </c>
      <c r="U353" s="31">
        <v>6.5060000000000007E-2</v>
      </c>
      <c r="V353" s="31">
        <v>0.23261999999999999</v>
      </c>
      <c r="W353" s="31">
        <v>0.20466000000000001</v>
      </c>
      <c r="X353" s="31">
        <v>70.064909999999998</v>
      </c>
    </row>
    <row r="354" spans="1:24" x14ac:dyDescent="0.25">
      <c r="A354">
        <v>320</v>
      </c>
      <c r="B354"/>
      <c r="C354">
        <v>8249</v>
      </c>
      <c r="D354">
        <v>2521</v>
      </c>
      <c r="E354"/>
      <c r="F354"/>
      <c r="G354">
        <v>439</v>
      </c>
      <c r="H354">
        <v>714</v>
      </c>
      <c r="I354">
        <v>12243</v>
      </c>
      <c r="J354">
        <v>97</v>
      </c>
      <c r="K354">
        <v>8533</v>
      </c>
      <c r="L354">
        <v>3613</v>
      </c>
      <c r="M354">
        <v>10943</v>
      </c>
      <c r="N354">
        <v>1300</v>
      </c>
      <c r="O354" t="s">
        <v>661</v>
      </c>
      <c r="P354" t="s">
        <v>247</v>
      </c>
      <c r="Q354" s="31">
        <v>29625</v>
      </c>
      <c r="R354" s="31" t="s">
        <v>247</v>
      </c>
      <c r="S354" s="31" t="s">
        <v>661</v>
      </c>
      <c r="T354" s="31">
        <v>2.6700000000000001E-3</v>
      </c>
      <c r="U354" s="31">
        <v>8.7859999999999994E-2</v>
      </c>
      <c r="V354" s="31">
        <v>0.23815</v>
      </c>
      <c r="W354" s="31">
        <v>0.19367000000000001</v>
      </c>
      <c r="X354" s="31">
        <v>61.21313</v>
      </c>
    </row>
    <row r="355" spans="1:24" x14ac:dyDescent="0.25">
      <c r="A355">
        <v>44</v>
      </c>
      <c r="B355"/>
      <c r="C355">
        <v>2243</v>
      </c>
      <c r="D355">
        <v>1194</v>
      </c>
      <c r="E355"/>
      <c r="F355"/>
      <c r="G355">
        <v>355</v>
      </c>
      <c r="H355">
        <v>108</v>
      </c>
      <c r="I355">
        <v>3944</v>
      </c>
      <c r="J355">
        <v>7</v>
      </c>
      <c r="K355">
        <v>2761</v>
      </c>
      <c r="L355">
        <v>1137</v>
      </c>
      <c r="M355">
        <v>3807</v>
      </c>
      <c r="N355">
        <v>99</v>
      </c>
      <c r="O355" t="s">
        <v>607</v>
      </c>
      <c r="P355" t="s">
        <v>203</v>
      </c>
      <c r="Q355" s="31">
        <v>8760</v>
      </c>
      <c r="R355" s="31" t="s">
        <v>203</v>
      </c>
      <c r="S355" s="31" t="s">
        <v>607</v>
      </c>
      <c r="T355" s="31">
        <v>2.5400000000000002E-3</v>
      </c>
      <c r="U355" s="31">
        <v>0.1346</v>
      </c>
      <c r="V355" s="31">
        <v>0.17765</v>
      </c>
      <c r="W355" s="31">
        <v>0.19044</v>
      </c>
      <c r="X355" s="31">
        <v>67.658100000000005</v>
      </c>
    </row>
    <row r="356" spans="1:24" x14ac:dyDescent="0.25">
      <c r="A356">
        <v>157</v>
      </c>
      <c r="B356"/>
      <c r="C356">
        <v>2719</v>
      </c>
      <c r="D356">
        <v>788</v>
      </c>
      <c r="E356"/>
      <c r="F356"/>
      <c r="G356">
        <v>481</v>
      </c>
      <c r="H356">
        <v>225</v>
      </c>
      <c r="I356">
        <v>4370</v>
      </c>
      <c r="J356">
        <v>4</v>
      </c>
      <c r="K356">
        <v>3428</v>
      </c>
      <c r="L356">
        <v>918</v>
      </c>
      <c r="M356">
        <v>3932</v>
      </c>
      <c r="N356">
        <v>418</v>
      </c>
      <c r="O356" t="s">
        <v>638</v>
      </c>
      <c r="P356" t="s">
        <v>224</v>
      </c>
      <c r="Q356" s="31">
        <v>9695</v>
      </c>
      <c r="R356" s="31" t="s">
        <v>224</v>
      </c>
      <c r="S356" s="31" t="s">
        <v>638</v>
      </c>
      <c r="T356" s="31">
        <v>3.0300000000000001E-3</v>
      </c>
      <c r="U356" s="31">
        <v>8.6470000000000005E-2</v>
      </c>
      <c r="V356" s="31">
        <v>0.29061999999999999</v>
      </c>
      <c r="W356" s="31">
        <v>0.20859</v>
      </c>
      <c r="X356" s="31">
        <v>57.50356</v>
      </c>
    </row>
    <row r="357" spans="1:24" x14ac:dyDescent="0.25">
      <c r="A357">
        <v>275</v>
      </c>
      <c r="B357"/>
      <c r="C357">
        <v>4942</v>
      </c>
      <c r="D357">
        <v>1757</v>
      </c>
      <c r="E357"/>
      <c r="F357"/>
      <c r="G357">
        <v>421</v>
      </c>
      <c r="H357">
        <v>434</v>
      </c>
      <c r="I357">
        <v>7829</v>
      </c>
      <c r="J357">
        <v>49</v>
      </c>
      <c r="K357">
        <v>6154</v>
      </c>
      <c r="L357">
        <v>1625</v>
      </c>
      <c r="M357">
        <v>6792</v>
      </c>
      <c r="N357">
        <v>1037</v>
      </c>
      <c r="O357" t="s">
        <v>906</v>
      </c>
      <c r="P357" t="s">
        <v>409</v>
      </c>
      <c r="Q357" s="31">
        <v>18215</v>
      </c>
      <c r="R357" s="31" t="s">
        <v>409</v>
      </c>
      <c r="S357" s="31" t="s">
        <v>906</v>
      </c>
      <c r="T357" s="31">
        <v>3.16E-3</v>
      </c>
      <c r="U357" s="31">
        <v>9.7470000000000001E-2</v>
      </c>
      <c r="V357" s="31">
        <v>0.26691999999999999</v>
      </c>
      <c r="W357" s="31">
        <v>0.20862</v>
      </c>
      <c r="X357" s="31">
        <v>62.045549999999999</v>
      </c>
    </row>
    <row r="358" spans="1:24" x14ac:dyDescent="0.25">
      <c r="A358">
        <v>274</v>
      </c>
      <c r="B358"/>
      <c r="C358">
        <v>5427</v>
      </c>
      <c r="D358">
        <v>1968</v>
      </c>
      <c r="E358"/>
      <c r="F358"/>
      <c r="G358">
        <v>444</v>
      </c>
      <c r="H358">
        <v>752</v>
      </c>
      <c r="I358">
        <v>8865</v>
      </c>
      <c r="J358">
        <v>5</v>
      </c>
      <c r="K358">
        <v>6259</v>
      </c>
      <c r="L358">
        <v>2568</v>
      </c>
      <c r="M358">
        <v>7501</v>
      </c>
      <c r="N358">
        <v>1331</v>
      </c>
      <c r="O358" t="s">
        <v>674</v>
      </c>
      <c r="P358" t="s">
        <v>257</v>
      </c>
      <c r="Q358" s="31">
        <v>19795</v>
      </c>
      <c r="R358" s="31" t="s">
        <v>257</v>
      </c>
      <c r="S358" s="31" t="s">
        <v>674</v>
      </c>
      <c r="T358" s="31">
        <v>3.0500000000000002E-3</v>
      </c>
      <c r="U358" s="31">
        <v>9.962E-2</v>
      </c>
      <c r="V358" s="31">
        <v>0.23941999999999999</v>
      </c>
      <c r="W358" s="31">
        <v>0.19858999999999999</v>
      </c>
      <c r="X358" s="31">
        <v>65.554159999999996</v>
      </c>
    </row>
    <row r="359" spans="1:24" x14ac:dyDescent="0.25">
      <c r="A359">
        <v>546</v>
      </c>
      <c r="B359"/>
      <c r="C359">
        <v>4468</v>
      </c>
      <c r="D359">
        <v>914</v>
      </c>
      <c r="E359"/>
      <c r="F359"/>
      <c r="G359">
        <v>471</v>
      </c>
      <c r="H359">
        <v>561</v>
      </c>
      <c r="I359">
        <v>6960</v>
      </c>
      <c r="J359">
        <v>148</v>
      </c>
      <c r="K359">
        <v>4565</v>
      </c>
      <c r="L359">
        <v>2219</v>
      </c>
      <c r="M359">
        <v>5497</v>
      </c>
      <c r="N359">
        <v>1435</v>
      </c>
      <c r="O359" t="s">
        <v>727</v>
      </c>
      <c r="P359" t="s">
        <v>155</v>
      </c>
      <c r="Q359" s="31">
        <v>14430</v>
      </c>
      <c r="R359" s="31" t="s">
        <v>155</v>
      </c>
      <c r="S359" s="31" t="s">
        <v>727</v>
      </c>
      <c r="T359" s="31">
        <v>3.7799999999999999E-3</v>
      </c>
      <c r="U359" s="31">
        <v>7.1160000000000001E-2</v>
      </c>
      <c r="V359" s="31">
        <v>0.26306000000000002</v>
      </c>
      <c r="W359" s="31">
        <v>0.25379000000000002</v>
      </c>
      <c r="X359" s="31">
        <v>82.951430000000002</v>
      </c>
    </row>
    <row r="360" spans="1:24" x14ac:dyDescent="0.25">
      <c r="A360">
        <v>290</v>
      </c>
      <c r="B360"/>
      <c r="C360">
        <v>9304</v>
      </c>
      <c r="D360">
        <v>3255</v>
      </c>
      <c r="E360"/>
      <c r="F360"/>
      <c r="G360">
        <v>707</v>
      </c>
      <c r="H360">
        <v>931</v>
      </c>
      <c r="I360">
        <v>14487</v>
      </c>
      <c r="J360">
        <v>11</v>
      </c>
      <c r="K360">
        <v>10731</v>
      </c>
      <c r="L360">
        <v>3670</v>
      </c>
      <c r="M360">
        <v>12903</v>
      </c>
      <c r="N360">
        <v>1509</v>
      </c>
      <c r="O360" t="s">
        <v>679</v>
      </c>
      <c r="P360" t="s">
        <v>261</v>
      </c>
      <c r="Q360" s="31">
        <v>32410</v>
      </c>
      <c r="R360" s="31" t="s">
        <v>261</v>
      </c>
      <c r="S360" s="31" t="s">
        <v>679</v>
      </c>
      <c r="T360" s="31">
        <v>3.3899999999999998E-3</v>
      </c>
      <c r="U360" s="31">
        <v>0.1011</v>
      </c>
      <c r="V360" s="31">
        <v>0.24521000000000001</v>
      </c>
      <c r="W360" s="31">
        <v>0.2336</v>
      </c>
      <c r="X360" s="31">
        <v>72.27028</v>
      </c>
    </row>
    <row r="361" spans="1:24" x14ac:dyDescent="0.25">
      <c r="A361">
        <v>267</v>
      </c>
      <c r="B361"/>
      <c r="C361">
        <v>8776</v>
      </c>
      <c r="D361">
        <v>3525</v>
      </c>
      <c r="E361"/>
      <c r="F361"/>
      <c r="G361">
        <v>834</v>
      </c>
      <c r="H361">
        <v>981</v>
      </c>
      <c r="I361">
        <v>14383</v>
      </c>
      <c r="J361">
        <v>8</v>
      </c>
      <c r="K361">
        <v>9824</v>
      </c>
      <c r="L361">
        <v>4534</v>
      </c>
      <c r="M361">
        <v>12848</v>
      </c>
      <c r="N361">
        <v>1517</v>
      </c>
      <c r="O361" t="s">
        <v>828</v>
      </c>
      <c r="P361" t="s">
        <v>399</v>
      </c>
      <c r="Q361" s="31">
        <v>33265</v>
      </c>
      <c r="R361" s="31" t="s">
        <v>399</v>
      </c>
      <c r="S361" s="31" t="s">
        <v>828</v>
      </c>
      <c r="T361" s="31">
        <v>3.0300000000000001E-3</v>
      </c>
      <c r="U361" s="31">
        <v>0.10646</v>
      </c>
      <c r="V361" s="31">
        <v>0.20405000000000001</v>
      </c>
      <c r="W361" s="31">
        <v>0.21598999999999999</v>
      </c>
      <c r="X361" s="31">
        <v>75.243480000000005</v>
      </c>
    </row>
    <row r="362" spans="1:24" x14ac:dyDescent="0.25">
      <c r="A362">
        <v>424</v>
      </c>
      <c r="B362"/>
      <c r="C362">
        <v>14303</v>
      </c>
      <c r="D362">
        <v>2763</v>
      </c>
      <c r="E362"/>
      <c r="F362"/>
      <c r="G362">
        <v>857</v>
      </c>
      <c r="H362">
        <v>1426</v>
      </c>
      <c r="I362">
        <v>19773</v>
      </c>
      <c r="J362">
        <v>3</v>
      </c>
      <c r="K362">
        <v>13248</v>
      </c>
      <c r="L362">
        <v>6500</v>
      </c>
      <c r="M362">
        <v>17612</v>
      </c>
      <c r="N362">
        <v>2139</v>
      </c>
      <c r="O362" t="s">
        <v>758</v>
      </c>
      <c r="P362" t="s">
        <v>324</v>
      </c>
      <c r="Q362" s="31">
        <v>46615</v>
      </c>
      <c r="R362" s="31" t="s">
        <v>324</v>
      </c>
      <c r="S362" s="31" t="s">
        <v>758</v>
      </c>
      <c r="T362" s="31">
        <v>2.47E-3</v>
      </c>
      <c r="U362" s="31">
        <v>5.8639999999999998E-2</v>
      </c>
      <c r="V362" s="31">
        <v>0.25489000000000001</v>
      </c>
      <c r="W362" s="31">
        <v>0.17635000000000001</v>
      </c>
      <c r="X362" s="31">
        <v>56.378950000000003</v>
      </c>
    </row>
    <row r="363" spans="1:24" x14ac:dyDescent="0.25">
      <c r="A363">
        <v>363</v>
      </c>
      <c r="B363"/>
      <c r="C363">
        <v>10584</v>
      </c>
      <c r="D363">
        <v>2407</v>
      </c>
      <c r="E363"/>
      <c r="F363"/>
      <c r="G363">
        <v>989</v>
      </c>
      <c r="H363">
        <v>988</v>
      </c>
      <c r="I363">
        <v>15331</v>
      </c>
      <c r="J363">
        <v>130</v>
      </c>
      <c r="K363">
        <v>10099</v>
      </c>
      <c r="L363">
        <v>5060</v>
      </c>
      <c r="M363">
        <v>13258</v>
      </c>
      <c r="N363">
        <v>2031</v>
      </c>
      <c r="O363" t="s">
        <v>904</v>
      </c>
      <c r="P363" t="s">
        <v>407</v>
      </c>
      <c r="Q363" s="31">
        <v>34895</v>
      </c>
      <c r="R363" s="31" t="s">
        <v>407</v>
      </c>
      <c r="S363" s="31" t="s">
        <v>904</v>
      </c>
      <c r="T363" s="31">
        <v>3.7000000000000002E-3</v>
      </c>
      <c r="U363" s="31">
        <v>7.0470000000000005E-2</v>
      </c>
      <c r="V363" s="31">
        <v>0.27290999999999999</v>
      </c>
      <c r="W363" s="31">
        <v>0.23672000000000001</v>
      </c>
      <c r="X363" s="31">
        <v>76.404160000000005</v>
      </c>
    </row>
    <row r="364" spans="1:24" x14ac:dyDescent="0.25">
      <c r="A364">
        <v>141</v>
      </c>
      <c r="B364"/>
      <c r="C364">
        <v>6118</v>
      </c>
      <c r="D364">
        <v>1486</v>
      </c>
      <c r="E364"/>
      <c r="F364"/>
      <c r="G364">
        <v>393</v>
      </c>
      <c r="H364">
        <v>453</v>
      </c>
      <c r="I364">
        <v>8591</v>
      </c>
      <c r="J364">
        <v>16</v>
      </c>
      <c r="K364">
        <v>5158</v>
      </c>
      <c r="L364">
        <v>3417</v>
      </c>
      <c r="M364">
        <v>7957</v>
      </c>
      <c r="N364">
        <v>634</v>
      </c>
      <c r="O364" t="s">
        <v>538</v>
      </c>
      <c r="P364" t="s">
        <v>136</v>
      </c>
      <c r="Q364" s="31">
        <v>21975</v>
      </c>
      <c r="R364" s="31" t="s">
        <v>136</v>
      </c>
      <c r="S364" s="31" t="s">
        <v>538</v>
      </c>
      <c r="T364" s="31">
        <v>2.3E-3</v>
      </c>
      <c r="U364" s="31">
        <v>7.4620000000000006E-2</v>
      </c>
      <c r="V364" s="31">
        <v>0.19803999999999999</v>
      </c>
      <c r="W364" s="31">
        <v>0.16134999999999999</v>
      </c>
      <c r="X364" s="31">
        <v>65.931690000000003</v>
      </c>
    </row>
    <row r="365" spans="1:24" x14ac:dyDescent="0.25">
      <c r="A365">
        <v>407</v>
      </c>
      <c r="B365"/>
      <c r="C365">
        <v>10085</v>
      </c>
      <c r="D365">
        <v>2122</v>
      </c>
      <c r="E365"/>
      <c r="F365"/>
      <c r="G365">
        <v>488</v>
      </c>
      <c r="H365">
        <v>1746</v>
      </c>
      <c r="I365">
        <v>14848</v>
      </c>
      <c r="J365">
        <v>145</v>
      </c>
      <c r="K365">
        <v>10199</v>
      </c>
      <c r="L365">
        <v>4467</v>
      </c>
      <c r="M365">
        <v>11843</v>
      </c>
      <c r="N365">
        <v>2968</v>
      </c>
      <c r="O365" t="s">
        <v>705</v>
      </c>
      <c r="P365" t="s">
        <v>287</v>
      </c>
      <c r="Q365" s="31">
        <v>37585</v>
      </c>
      <c r="R365" s="31" t="s">
        <v>287</v>
      </c>
      <c r="S365" s="31" t="s">
        <v>705</v>
      </c>
      <c r="T365" s="31">
        <v>2.6199999999999999E-3</v>
      </c>
      <c r="U365" s="31">
        <v>6.1120000000000001E-2</v>
      </c>
      <c r="V365" s="31">
        <v>0.22339999999999999</v>
      </c>
      <c r="W365" s="31">
        <v>0.17629</v>
      </c>
      <c r="X365" s="31">
        <v>65.5595</v>
      </c>
    </row>
    <row r="366" spans="1:24" x14ac:dyDescent="0.25">
      <c r="A366">
        <v>639</v>
      </c>
      <c r="B366"/>
      <c r="C366">
        <v>12155</v>
      </c>
      <c r="D366">
        <v>3397</v>
      </c>
      <c r="E366"/>
      <c r="F366"/>
      <c r="G366">
        <v>118</v>
      </c>
      <c r="H366">
        <v>1416</v>
      </c>
      <c r="I366">
        <v>17725</v>
      </c>
      <c r="J366">
        <v>115</v>
      </c>
      <c r="K366">
        <v>11313</v>
      </c>
      <c r="L366">
        <v>6297</v>
      </c>
      <c r="M366">
        <v>13933</v>
      </c>
      <c r="N366">
        <v>3792</v>
      </c>
      <c r="O366" t="s">
        <v>792</v>
      </c>
      <c r="P366" t="s">
        <v>372</v>
      </c>
      <c r="Q366" s="31">
        <v>38835</v>
      </c>
      <c r="R366" s="31" t="s">
        <v>372</v>
      </c>
      <c r="S366" s="31" t="s">
        <v>792</v>
      </c>
      <c r="T366" s="31">
        <v>3.14E-3</v>
      </c>
      <c r="U366" s="31">
        <v>8.8880000000000001E-2</v>
      </c>
      <c r="V366" s="31">
        <v>0.23311999999999999</v>
      </c>
      <c r="W366" s="31">
        <v>0.2069</v>
      </c>
      <c r="X366" s="31">
        <v>74.621729999999999</v>
      </c>
    </row>
    <row r="367" spans="1:24" x14ac:dyDescent="0.25">
      <c r="A367">
        <v>249</v>
      </c>
      <c r="B367"/>
      <c r="C367">
        <v>4976</v>
      </c>
      <c r="D367">
        <v>1359</v>
      </c>
      <c r="E367"/>
      <c r="F367"/>
      <c r="G367">
        <v>418</v>
      </c>
      <c r="H367">
        <v>429</v>
      </c>
      <c r="I367">
        <v>7431</v>
      </c>
      <c r="J367">
        <v>9</v>
      </c>
      <c r="K367">
        <v>5165</v>
      </c>
      <c r="L367">
        <v>2258</v>
      </c>
      <c r="M367">
        <v>6504</v>
      </c>
      <c r="N367">
        <v>927</v>
      </c>
      <c r="O367" t="s">
        <v>694</v>
      </c>
      <c r="P367" t="s">
        <v>276</v>
      </c>
      <c r="Q367" s="31">
        <v>17725</v>
      </c>
      <c r="R367" s="31" t="s">
        <v>276</v>
      </c>
      <c r="S367" s="31" t="s">
        <v>694</v>
      </c>
      <c r="T367" s="31">
        <v>2.81E-3</v>
      </c>
      <c r="U367" s="31">
        <v>8.0379999999999993E-2</v>
      </c>
      <c r="V367" s="31">
        <v>0.20832000000000001</v>
      </c>
      <c r="W367" s="31">
        <v>0.19731000000000001</v>
      </c>
      <c r="X367" s="31">
        <v>72.562979999999996</v>
      </c>
    </row>
    <row r="368" spans="1:24" x14ac:dyDescent="0.25">
      <c r="A368">
        <v>477</v>
      </c>
      <c r="B368"/>
      <c r="C368">
        <v>7706</v>
      </c>
      <c r="D368">
        <v>1819</v>
      </c>
      <c r="E368"/>
      <c r="F368"/>
      <c r="G368">
        <v>313</v>
      </c>
      <c r="H368">
        <v>342</v>
      </c>
      <c r="I368">
        <v>10657</v>
      </c>
      <c r="J368">
        <v>204</v>
      </c>
      <c r="K368">
        <v>7507</v>
      </c>
      <c r="L368">
        <v>2937</v>
      </c>
      <c r="M368">
        <v>9330</v>
      </c>
      <c r="N368">
        <v>1318</v>
      </c>
      <c r="O368" t="s">
        <v>625</v>
      </c>
      <c r="P368" t="s">
        <v>218</v>
      </c>
      <c r="Q368" s="31">
        <v>25870</v>
      </c>
      <c r="R368" s="31" t="s">
        <v>218</v>
      </c>
      <c r="S368" s="31" t="s">
        <v>625</v>
      </c>
      <c r="T368" s="31">
        <v>3.16E-3</v>
      </c>
      <c r="U368" s="31">
        <v>7.3349999999999999E-2</v>
      </c>
      <c r="V368" s="31">
        <v>0.27762999999999999</v>
      </c>
      <c r="W368" s="31">
        <v>0.20046</v>
      </c>
      <c r="X368" s="31">
        <v>65.562950000000001</v>
      </c>
    </row>
    <row r="369" spans="1:24" x14ac:dyDescent="0.25">
      <c r="A369">
        <v>1666</v>
      </c>
      <c r="B369"/>
      <c r="C369">
        <v>28712</v>
      </c>
      <c r="D369">
        <v>5698</v>
      </c>
      <c r="E369"/>
      <c r="F369"/>
      <c r="G369">
        <v>949</v>
      </c>
      <c r="H369">
        <v>6909</v>
      </c>
      <c r="I369">
        <v>43934</v>
      </c>
      <c r="J369">
        <v>173</v>
      </c>
      <c r="K369">
        <v>28436</v>
      </c>
      <c r="L369">
        <v>15280</v>
      </c>
      <c r="M369">
        <v>33089</v>
      </c>
      <c r="N369">
        <v>10800</v>
      </c>
      <c r="O369" t="s">
        <v>703</v>
      </c>
      <c r="P369" t="s">
        <v>285</v>
      </c>
      <c r="Q369" s="31">
        <v>103115</v>
      </c>
      <c r="R369" s="31" t="s">
        <v>285</v>
      </c>
      <c r="S369" s="31" t="s">
        <v>703</v>
      </c>
      <c r="T369" s="31">
        <v>2.5699999999999998E-3</v>
      </c>
      <c r="U369" s="31">
        <v>5.7149999999999999E-2</v>
      </c>
      <c r="V369" s="31">
        <v>0.23891999999999999</v>
      </c>
      <c r="W369" s="31">
        <v>0.18165000000000001</v>
      </c>
      <c r="X369" s="31">
        <v>60.18318</v>
      </c>
    </row>
    <row r="370" spans="1:24" x14ac:dyDescent="0.25">
      <c r="A370">
        <v>514</v>
      </c>
      <c r="B370"/>
      <c r="C370">
        <v>5306</v>
      </c>
      <c r="D370">
        <v>1273</v>
      </c>
      <c r="E370"/>
      <c r="F370"/>
      <c r="G370">
        <v>196</v>
      </c>
      <c r="H370">
        <v>924</v>
      </c>
      <c r="I370">
        <v>8213</v>
      </c>
      <c r="J370">
        <v>17</v>
      </c>
      <c r="K370">
        <v>5817</v>
      </c>
      <c r="L370">
        <v>2342</v>
      </c>
      <c r="M370">
        <v>6288</v>
      </c>
      <c r="N370">
        <v>1889</v>
      </c>
      <c r="O370" t="s">
        <v>695</v>
      </c>
      <c r="P370" t="s">
        <v>277</v>
      </c>
      <c r="Q370" s="31">
        <v>18420</v>
      </c>
      <c r="R370" s="31" t="s">
        <v>277</v>
      </c>
      <c r="S370" s="31" t="s">
        <v>695</v>
      </c>
      <c r="T370" s="31">
        <v>2.5300000000000001E-3</v>
      </c>
      <c r="U370" s="31">
        <v>7.3039999999999994E-2</v>
      </c>
      <c r="V370" s="31">
        <v>0.30825000000000002</v>
      </c>
      <c r="W370" s="31">
        <v>0.17119999999999999</v>
      </c>
      <c r="X370" s="31">
        <v>44.049390000000002</v>
      </c>
    </row>
    <row r="371" spans="1:24" x14ac:dyDescent="0.25">
      <c r="A371">
        <v>1074</v>
      </c>
      <c r="B371"/>
      <c r="C371">
        <v>11966</v>
      </c>
      <c r="D371">
        <v>4190</v>
      </c>
      <c r="E371"/>
      <c r="F371"/>
      <c r="G371">
        <v>1120</v>
      </c>
      <c r="H371">
        <v>1777</v>
      </c>
      <c r="I371">
        <v>20127</v>
      </c>
      <c r="J371">
        <v>160</v>
      </c>
      <c r="K371">
        <v>13046</v>
      </c>
      <c r="L371">
        <v>6922</v>
      </c>
      <c r="M371">
        <v>16414</v>
      </c>
      <c r="N371">
        <v>3713</v>
      </c>
      <c r="O371" t="s">
        <v>596</v>
      </c>
      <c r="P371" t="s">
        <v>191</v>
      </c>
      <c r="Q371" s="31">
        <v>44600</v>
      </c>
      <c r="R371" s="31" t="s">
        <v>191</v>
      </c>
      <c r="S371" s="31" t="s">
        <v>596</v>
      </c>
      <c r="T371" s="31">
        <v>3.3600000000000001E-3</v>
      </c>
      <c r="U371" s="31">
        <v>9.7500000000000003E-2</v>
      </c>
      <c r="V371" s="31">
        <v>0.20573</v>
      </c>
      <c r="W371" s="31">
        <v>0.2276</v>
      </c>
      <c r="X371" s="31">
        <v>80.978179999999995</v>
      </c>
    </row>
    <row r="372" spans="1:24" x14ac:dyDescent="0.25">
      <c r="A372">
        <v>870</v>
      </c>
      <c r="B372"/>
      <c r="C372">
        <v>9931</v>
      </c>
      <c r="D372">
        <v>3452</v>
      </c>
      <c r="E372"/>
      <c r="F372"/>
      <c r="G372">
        <v>1569</v>
      </c>
      <c r="H372">
        <v>1238</v>
      </c>
      <c r="I372">
        <v>17060</v>
      </c>
      <c r="J372">
        <v>266</v>
      </c>
      <c r="K372">
        <v>11390</v>
      </c>
      <c r="L372">
        <v>5404</v>
      </c>
      <c r="M372">
        <v>14557</v>
      </c>
      <c r="N372">
        <v>2504</v>
      </c>
      <c r="O372" t="s">
        <v>764</v>
      </c>
      <c r="P372" t="s">
        <v>330</v>
      </c>
      <c r="Q372" s="31">
        <v>36835</v>
      </c>
      <c r="R372" s="31" t="s">
        <v>330</v>
      </c>
      <c r="S372" s="31" t="s">
        <v>764</v>
      </c>
      <c r="T372" s="31">
        <v>3.49E-3</v>
      </c>
      <c r="U372" s="31">
        <v>0.10017</v>
      </c>
      <c r="V372" s="31">
        <v>0.21379000000000001</v>
      </c>
      <c r="W372" s="31">
        <v>0.23629</v>
      </c>
      <c r="X372" s="31">
        <v>81.260390000000001</v>
      </c>
    </row>
    <row r="373" spans="1:24" x14ac:dyDescent="0.25">
      <c r="A373">
        <v>4826</v>
      </c>
      <c r="B373"/>
      <c r="C373">
        <v>27919</v>
      </c>
      <c r="D373">
        <v>9434</v>
      </c>
      <c r="E373"/>
      <c r="F373"/>
      <c r="G373">
        <v>859</v>
      </c>
      <c r="H373">
        <v>6099</v>
      </c>
      <c r="I373">
        <v>49137</v>
      </c>
      <c r="J373">
        <v>462</v>
      </c>
      <c r="K373">
        <v>28181</v>
      </c>
      <c r="L373">
        <v>20334</v>
      </c>
      <c r="M373">
        <v>33264</v>
      </c>
      <c r="N373">
        <v>15850</v>
      </c>
      <c r="O373" t="s">
        <v>771</v>
      </c>
      <c r="P373" t="s">
        <v>337</v>
      </c>
      <c r="Q373" s="31">
        <v>93605</v>
      </c>
      <c r="R373" s="31" t="s">
        <v>337</v>
      </c>
      <c r="S373" s="31" t="s">
        <v>771</v>
      </c>
      <c r="T373" s="31">
        <v>3.3800000000000002E-3</v>
      </c>
      <c r="U373" s="31">
        <v>0.10765</v>
      </c>
      <c r="V373" s="31">
        <v>0.17111999999999999</v>
      </c>
      <c r="W373" s="31">
        <v>0.21779999999999999</v>
      </c>
      <c r="X373" s="31">
        <v>95.054479999999998</v>
      </c>
    </row>
    <row r="374" spans="1:24" x14ac:dyDescent="0.25">
      <c r="A374">
        <v>554</v>
      </c>
      <c r="B374"/>
      <c r="C374">
        <v>7589</v>
      </c>
      <c r="D374">
        <v>1933</v>
      </c>
      <c r="E374"/>
      <c r="F374"/>
      <c r="G374">
        <v>447</v>
      </c>
      <c r="H374">
        <v>1149</v>
      </c>
      <c r="I374">
        <v>11672</v>
      </c>
      <c r="J374">
        <v>72</v>
      </c>
      <c r="K374">
        <v>7309</v>
      </c>
      <c r="L374">
        <v>4274</v>
      </c>
      <c r="M374">
        <v>9685</v>
      </c>
      <c r="N374">
        <v>1970</v>
      </c>
      <c r="O374" t="s">
        <v>590</v>
      </c>
      <c r="P374" t="s">
        <v>395</v>
      </c>
      <c r="Q374" s="31">
        <v>25700</v>
      </c>
      <c r="R374" s="31" t="s">
        <v>395</v>
      </c>
      <c r="S374" s="31" t="s">
        <v>590</v>
      </c>
      <c r="T374" s="31">
        <v>2.8800000000000002E-3</v>
      </c>
      <c r="U374" s="31">
        <v>7.7100000000000002E-2</v>
      </c>
      <c r="V374" s="31">
        <v>0.27890999999999999</v>
      </c>
      <c r="W374" s="31">
        <v>0.19270000000000001</v>
      </c>
      <c r="X374" s="31">
        <v>54.58023</v>
      </c>
    </row>
    <row r="375" spans="1:24" x14ac:dyDescent="0.25">
      <c r="A375">
        <v>127</v>
      </c>
      <c r="B375"/>
      <c r="C375">
        <v>4387</v>
      </c>
      <c r="D375">
        <v>2889</v>
      </c>
      <c r="E375"/>
      <c r="F375"/>
      <c r="G375">
        <v>247</v>
      </c>
      <c r="H375">
        <v>552</v>
      </c>
      <c r="I375">
        <v>8202</v>
      </c>
      <c r="J375">
        <v>120</v>
      </c>
      <c r="K375">
        <v>5172</v>
      </c>
      <c r="L375">
        <v>2893</v>
      </c>
      <c r="M375">
        <v>7419</v>
      </c>
      <c r="N375">
        <v>766</v>
      </c>
      <c r="O375" t="s">
        <v>616</v>
      </c>
      <c r="P375" t="s">
        <v>209</v>
      </c>
      <c r="Q375" s="31">
        <v>18995</v>
      </c>
      <c r="R375" s="31" t="s">
        <v>209</v>
      </c>
      <c r="S375" s="31" t="s">
        <v>616</v>
      </c>
      <c r="T375" s="31">
        <v>3.0000000000000001E-3</v>
      </c>
      <c r="U375" s="31">
        <v>0.16325000000000001</v>
      </c>
      <c r="V375" s="31">
        <v>0.14896999999999999</v>
      </c>
      <c r="W375" s="31">
        <v>0.20221</v>
      </c>
      <c r="X375" s="31">
        <v>91.07535</v>
      </c>
    </row>
    <row r="376" spans="1:24" x14ac:dyDescent="0.25">
      <c r="A376">
        <v>769</v>
      </c>
      <c r="B376"/>
      <c r="C376">
        <v>11595</v>
      </c>
      <c r="D376">
        <v>2465</v>
      </c>
      <c r="E376"/>
      <c r="F376"/>
      <c r="G376">
        <v>448</v>
      </c>
      <c r="H376">
        <v>2024</v>
      </c>
      <c r="I376">
        <v>17301</v>
      </c>
      <c r="J376">
        <v>198</v>
      </c>
      <c r="K376">
        <v>11153</v>
      </c>
      <c r="L376">
        <v>5898</v>
      </c>
      <c r="M376">
        <v>13327</v>
      </c>
      <c r="N376">
        <v>3922</v>
      </c>
      <c r="O376" t="s">
        <v>697</v>
      </c>
      <c r="P376" t="s">
        <v>279</v>
      </c>
      <c r="Q376" s="31">
        <v>40440</v>
      </c>
      <c r="R376" s="31" t="s">
        <v>279</v>
      </c>
      <c r="S376" s="31" t="s">
        <v>697</v>
      </c>
      <c r="T376" s="31">
        <v>2.49E-3</v>
      </c>
      <c r="U376" s="31">
        <v>6.3399999999999998E-2</v>
      </c>
      <c r="V376" s="31">
        <v>0.26726</v>
      </c>
      <c r="W376" s="31">
        <v>0.17199999999999999</v>
      </c>
      <c r="X376" s="31">
        <v>51.070189999999997</v>
      </c>
    </row>
    <row r="377" spans="1:24" x14ac:dyDescent="0.25">
      <c r="A377">
        <v>784</v>
      </c>
      <c r="B377"/>
      <c r="C377">
        <v>12147</v>
      </c>
      <c r="D377">
        <v>3489</v>
      </c>
      <c r="E377"/>
      <c r="F377"/>
      <c r="G377">
        <v>738</v>
      </c>
      <c r="H377">
        <v>1173</v>
      </c>
      <c r="I377">
        <v>18331</v>
      </c>
      <c r="J377">
        <v>267</v>
      </c>
      <c r="K377">
        <v>12980</v>
      </c>
      <c r="L377">
        <v>5083</v>
      </c>
      <c r="M377">
        <v>15809</v>
      </c>
      <c r="N377">
        <v>2522</v>
      </c>
      <c r="O377" t="s">
        <v>665</v>
      </c>
      <c r="P377" t="s">
        <v>251</v>
      </c>
      <c r="Q377" s="31">
        <v>43245</v>
      </c>
      <c r="R377" s="31" t="s">
        <v>251</v>
      </c>
      <c r="S377" s="31" t="s">
        <v>665</v>
      </c>
      <c r="T377" s="31">
        <v>2.98E-3</v>
      </c>
      <c r="U377" s="31">
        <v>8.6879999999999999E-2</v>
      </c>
      <c r="V377" s="31">
        <v>0.23154</v>
      </c>
      <c r="W377" s="31">
        <v>0.20127</v>
      </c>
      <c r="X377" s="31">
        <v>69.076369999999997</v>
      </c>
    </row>
    <row r="378" spans="1:24" x14ac:dyDescent="0.25">
      <c r="A378">
        <v>804</v>
      </c>
      <c r="B378"/>
      <c r="C378">
        <v>10309</v>
      </c>
      <c r="D378">
        <v>5322</v>
      </c>
      <c r="E378"/>
      <c r="F378"/>
      <c r="G378">
        <v>736</v>
      </c>
      <c r="H378">
        <v>2149</v>
      </c>
      <c r="I378">
        <v>19320</v>
      </c>
      <c r="J378">
        <v>29</v>
      </c>
      <c r="K378">
        <v>11744</v>
      </c>
      <c r="L378">
        <v>7522</v>
      </c>
      <c r="M378">
        <v>15925</v>
      </c>
      <c r="N378">
        <v>3370</v>
      </c>
      <c r="O378" t="s">
        <v>785</v>
      </c>
      <c r="P378" t="s">
        <v>364</v>
      </c>
      <c r="Q378" s="31">
        <v>38475</v>
      </c>
      <c r="R378" s="31" t="s">
        <v>364</v>
      </c>
      <c r="S378" s="31" t="s">
        <v>785</v>
      </c>
      <c r="T378" s="31">
        <v>3.1099999999999999E-3</v>
      </c>
      <c r="U378" s="31">
        <v>0.13949</v>
      </c>
      <c r="V378" s="31">
        <v>0.12584999999999999</v>
      </c>
      <c r="W378" s="31">
        <v>0.22991</v>
      </c>
      <c r="X378" s="31">
        <v>114.31579000000001</v>
      </c>
    </row>
    <row r="379" spans="1:24" x14ac:dyDescent="0.25">
      <c r="A379">
        <v>203</v>
      </c>
      <c r="B379"/>
      <c r="C379">
        <v>6632</v>
      </c>
      <c r="D379">
        <v>1140</v>
      </c>
      <c r="E379"/>
      <c r="F379"/>
      <c r="G379">
        <v>430</v>
      </c>
      <c r="H379">
        <v>625</v>
      </c>
      <c r="I379">
        <v>9030</v>
      </c>
      <c r="J379">
        <v>96</v>
      </c>
      <c r="K379">
        <v>6081</v>
      </c>
      <c r="L379">
        <v>2786</v>
      </c>
      <c r="M379">
        <v>7914</v>
      </c>
      <c r="N379">
        <v>1049</v>
      </c>
      <c r="O379" t="s">
        <v>654</v>
      </c>
      <c r="P379" t="s">
        <v>240</v>
      </c>
      <c r="Q379" s="31">
        <v>22110</v>
      </c>
      <c r="R379" s="31" t="s">
        <v>240</v>
      </c>
      <c r="S379" s="31" t="s">
        <v>654</v>
      </c>
      <c r="T379" s="31">
        <v>2.1700000000000001E-3</v>
      </c>
      <c r="U379" s="31">
        <v>5.169E-2</v>
      </c>
      <c r="V379" s="31">
        <v>0.23585</v>
      </c>
      <c r="W379" s="31">
        <v>0.15540000000000001</v>
      </c>
      <c r="X379" s="31">
        <v>54.322450000000003</v>
      </c>
    </row>
    <row r="380" spans="1:24" x14ac:dyDescent="0.25">
      <c r="A380">
        <v>1538</v>
      </c>
      <c r="B380"/>
      <c r="C380">
        <v>25493</v>
      </c>
      <c r="D380">
        <v>7259</v>
      </c>
      <c r="E380"/>
      <c r="F380"/>
      <c r="G380">
        <v>2455</v>
      </c>
      <c r="H380">
        <v>4117</v>
      </c>
      <c r="I380">
        <v>40862</v>
      </c>
      <c r="J380">
        <v>184</v>
      </c>
      <c r="K380">
        <v>25602</v>
      </c>
      <c r="L380">
        <v>14777</v>
      </c>
      <c r="M380">
        <v>33424</v>
      </c>
      <c r="N380">
        <v>7252</v>
      </c>
      <c r="O380" t="s">
        <v>853</v>
      </c>
      <c r="P380" t="s">
        <v>536</v>
      </c>
      <c r="Q380" s="31">
        <v>83900</v>
      </c>
      <c r="R380" s="31" t="s">
        <v>937</v>
      </c>
      <c r="S380" s="31" t="s">
        <v>853</v>
      </c>
      <c r="T380" s="31">
        <v>3.14E-3</v>
      </c>
      <c r="U380" s="31">
        <v>9.0050000000000005E-2</v>
      </c>
      <c r="V380" s="31">
        <v>0.21106</v>
      </c>
      <c r="W380" s="31">
        <v>0.20666000000000001</v>
      </c>
      <c r="X380" s="31">
        <v>77.06532</v>
      </c>
    </row>
    <row r="381" spans="1:24" x14ac:dyDescent="0.25">
      <c r="A381">
        <v>1143</v>
      </c>
      <c r="B381"/>
      <c r="C381">
        <v>9801</v>
      </c>
      <c r="D381">
        <v>2677</v>
      </c>
      <c r="E381"/>
      <c r="F381"/>
      <c r="G381">
        <v>458</v>
      </c>
      <c r="H381">
        <v>447</v>
      </c>
      <c r="I381">
        <v>14526</v>
      </c>
      <c r="J381">
        <v>104</v>
      </c>
      <c r="K381">
        <v>10254</v>
      </c>
      <c r="L381">
        <v>4122</v>
      </c>
      <c r="M381">
        <v>11815</v>
      </c>
      <c r="N381">
        <v>2666</v>
      </c>
      <c r="O381" t="s">
        <v>544</v>
      </c>
      <c r="P381" t="s">
        <v>356</v>
      </c>
      <c r="Q381" s="31">
        <v>32835</v>
      </c>
      <c r="R381" s="31" t="s">
        <v>356</v>
      </c>
      <c r="S381" s="31" t="s">
        <v>544</v>
      </c>
      <c r="T381" s="31">
        <v>2.8300000000000001E-3</v>
      </c>
      <c r="U381" s="31">
        <v>8.2119999999999999E-2</v>
      </c>
      <c r="V381" s="31">
        <v>0.27366000000000001</v>
      </c>
      <c r="W381" s="31">
        <v>0.19061</v>
      </c>
      <c r="X381" s="31">
        <v>56.275779999999997</v>
      </c>
    </row>
    <row r="382" spans="1:24" x14ac:dyDescent="0.25">
      <c r="A382">
        <v>695</v>
      </c>
      <c r="B382"/>
      <c r="C382">
        <v>7736</v>
      </c>
      <c r="D382">
        <v>1980</v>
      </c>
      <c r="E382"/>
      <c r="F382"/>
      <c r="G382">
        <v>360</v>
      </c>
      <c r="H382">
        <v>628</v>
      </c>
      <c r="I382">
        <v>11399</v>
      </c>
      <c r="J382">
        <v>9</v>
      </c>
      <c r="K382">
        <v>8135</v>
      </c>
      <c r="L382">
        <v>3238</v>
      </c>
      <c r="M382">
        <v>9581</v>
      </c>
      <c r="N382">
        <v>1801</v>
      </c>
      <c r="O382" t="s">
        <v>789</v>
      </c>
      <c r="P382" t="s">
        <v>368</v>
      </c>
      <c r="Q382" s="31">
        <v>24920</v>
      </c>
      <c r="R382" s="31" t="s">
        <v>368</v>
      </c>
      <c r="S382" s="31" t="s">
        <v>789</v>
      </c>
      <c r="T382" s="31">
        <v>3.7499999999999999E-3</v>
      </c>
      <c r="U382" s="31">
        <v>8.0329999999999999E-2</v>
      </c>
      <c r="V382" s="31">
        <v>0.31219000000000002</v>
      </c>
      <c r="W382" s="31">
        <v>0.23138</v>
      </c>
      <c r="X382" s="31">
        <v>67.171329999999998</v>
      </c>
    </row>
    <row r="383" spans="1:24" x14ac:dyDescent="0.25">
      <c r="A383">
        <v>3270</v>
      </c>
      <c r="B383"/>
      <c r="C383">
        <v>19126</v>
      </c>
      <c r="D383">
        <v>7401</v>
      </c>
      <c r="E383"/>
      <c r="F383"/>
      <c r="G383">
        <v>419</v>
      </c>
      <c r="H383">
        <v>386</v>
      </c>
      <c r="I383">
        <v>30602</v>
      </c>
      <c r="J383">
        <v>250</v>
      </c>
      <c r="K383">
        <v>18871</v>
      </c>
      <c r="L383">
        <v>11480</v>
      </c>
      <c r="M383">
        <v>23504</v>
      </c>
      <c r="N383">
        <v>7098</v>
      </c>
      <c r="O383" t="s">
        <v>800</v>
      </c>
      <c r="P383" t="s">
        <v>380</v>
      </c>
      <c r="Q383" s="31">
        <v>63685</v>
      </c>
      <c r="R383" s="31" t="s">
        <v>380</v>
      </c>
      <c r="S383" s="31" t="s">
        <v>800</v>
      </c>
      <c r="T383" s="31">
        <v>2.5600000000000002E-3</v>
      </c>
      <c r="U383" s="31">
        <v>0.11983000000000001</v>
      </c>
      <c r="V383" s="31">
        <v>0.24418000000000001</v>
      </c>
      <c r="W383" s="31">
        <v>0.18559999999999999</v>
      </c>
      <c r="X383" s="31">
        <v>53.382289999999998</v>
      </c>
    </row>
    <row r="384" spans="1:24" x14ac:dyDescent="0.25">
      <c r="A384">
        <v>43</v>
      </c>
      <c r="B384"/>
      <c r="C384">
        <v>3818</v>
      </c>
      <c r="D384">
        <v>1556</v>
      </c>
      <c r="E384"/>
      <c r="F384"/>
      <c r="G384">
        <v>283</v>
      </c>
      <c r="H384">
        <v>282</v>
      </c>
      <c r="I384">
        <v>5982</v>
      </c>
      <c r="J384">
        <v>2</v>
      </c>
      <c r="K384">
        <v>4217</v>
      </c>
      <c r="L384">
        <v>1718</v>
      </c>
      <c r="M384">
        <v>5571</v>
      </c>
      <c r="N384">
        <v>365</v>
      </c>
      <c r="O384" t="s">
        <v>655</v>
      </c>
      <c r="P384" t="s">
        <v>241</v>
      </c>
      <c r="Q384" s="31">
        <v>13630</v>
      </c>
      <c r="R384" s="31" t="s">
        <v>241</v>
      </c>
      <c r="S384" s="31" t="s">
        <v>655</v>
      </c>
      <c r="T384" s="31">
        <v>2.8E-3</v>
      </c>
      <c r="U384" s="31">
        <v>0.11429</v>
      </c>
      <c r="V384" s="31">
        <v>0.22172</v>
      </c>
      <c r="W384" s="31">
        <v>0.19597000000000001</v>
      </c>
      <c r="X384" s="31">
        <v>66.08887</v>
      </c>
    </row>
    <row r="385" spans="1:24" x14ac:dyDescent="0.25">
      <c r="A385">
        <v>1173</v>
      </c>
      <c r="B385"/>
      <c r="C385">
        <v>13836</v>
      </c>
      <c r="D385">
        <v>4661</v>
      </c>
      <c r="E385"/>
      <c r="F385"/>
      <c r="G385">
        <v>1180</v>
      </c>
      <c r="H385">
        <v>20</v>
      </c>
      <c r="I385">
        <v>20870</v>
      </c>
      <c r="J385">
        <v>127</v>
      </c>
      <c r="K385">
        <v>14048</v>
      </c>
      <c r="L385">
        <v>6667</v>
      </c>
      <c r="M385">
        <v>18660</v>
      </c>
      <c r="N385">
        <v>2183</v>
      </c>
      <c r="O385" t="s">
        <v>622</v>
      </c>
      <c r="P385" t="s">
        <v>215</v>
      </c>
      <c r="Q385" s="31">
        <v>47405</v>
      </c>
      <c r="R385" s="31" t="s">
        <v>215</v>
      </c>
      <c r="S385" s="31" t="s">
        <v>622</v>
      </c>
      <c r="T385" s="31">
        <v>2.7599999999999999E-3</v>
      </c>
      <c r="U385" s="31">
        <v>0.10058</v>
      </c>
      <c r="V385" s="31">
        <v>0.24587999999999999</v>
      </c>
      <c r="W385" s="31">
        <v>0.19275999999999999</v>
      </c>
      <c r="X385" s="31">
        <v>59.821069999999999</v>
      </c>
    </row>
    <row r="386" spans="1:24" x14ac:dyDescent="0.25">
      <c r="A386">
        <v>7854</v>
      </c>
      <c r="B386"/>
      <c r="C386">
        <v>13489</v>
      </c>
      <c r="D386">
        <v>10177</v>
      </c>
      <c r="E386"/>
      <c r="F386"/>
      <c r="G386">
        <v>425</v>
      </c>
      <c r="H386">
        <v>4979</v>
      </c>
      <c r="I386">
        <v>36924</v>
      </c>
      <c r="J386">
        <v>151</v>
      </c>
      <c r="K386">
        <v>20096</v>
      </c>
      <c r="L386">
        <v>16676</v>
      </c>
      <c r="M386">
        <v>14420</v>
      </c>
      <c r="N386">
        <v>22504</v>
      </c>
      <c r="O386" t="s">
        <v>549</v>
      </c>
      <c r="P386" t="s">
        <v>352</v>
      </c>
      <c r="Q386" s="31">
        <v>73310</v>
      </c>
      <c r="R386" s="31" t="s">
        <v>352</v>
      </c>
      <c r="S386" s="31" t="s">
        <v>549</v>
      </c>
      <c r="T386" s="31">
        <v>3.1199999999999999E-3</v>
      </c>
      <c r="U386" s="31">
        <v>0.13869000000000001</v>
      </c>
      <c r="V386" s="31">
        <v>0.14113999999999999</v>
      </c>
      <c r="W386" s="31">
        <v>0.22295999999999999</v>
      </c>
      <c r="X386" s="31">
        <v>76.4499</v>
      </c>
    </row>
    <row r="387" spans="1:24" x14ac:dyDescent="0.25">
      <c r="A387">
        <v>1274</v>
      </c>
      <c r="B387"/>
      <c r="C387">
        <v>15205</v>
      </c>
      <c r="D387">
        <v>4204</v>
      </c>
      <c r="E387"/>
      <c r="F387"/>
      <c r="G387">
        <v>731</v>
      </c>
      <c r="H387">
        <v>221</v>
      </c>
      <c r="I387">
        <v>21635</v>
      </c>
      <c r="J387">
        <v>147</v>
      </c>
      <c r="K387">
        <v>12685</v>
      </c>
      <c r="L387">
        <v>8705</v>
      </c>
      <c r="M387">
        <v>18745</v>
      </c>
      <c r="N387">
        <v>2793</v>
      </c>
      <c r="O387" t="s">
        <v>834</v>
      </c>
      <c r="P387" t="s">
        <v>390</v>
      </c>
      <c r="Q387" s="31">
        <v>48165</v>
      </c>
      <c r="R387" s="31" t="s">
        <v>390</v>
      </c>
      <c r="S387" s="31" t="s">
        <v>834</v>
      </c>
      <c r="T387" s="31">
        <v>2.8700000000000002E-3</v>
      </c>
      <c r="U387" s="31">
        <v>9.0279999999999999E-2</v>
      </c>
      <c r="V387" s="31">
        <v>0.22746</v>
      </c>
      <c r="W387" s="31">
        <v>0.20335</v>
      </c>
      <c r="X387" s="31">
        <v>70.794979999999995</v>
      </c>
    </row>
    <row r="388" spans="1:24" x14ac:dyDescent="0.25">
      <c r="A388">
        <v>550</v>
      </c>
      <c r="B388"/>
      <c r="C388">
        <v>13563</v>
      </c>
      <c r="D388">
        <v>3387</v>
      </c>
      <c r="E388"/>
      <c r="F388"/>
      <c r="G388">
        <v>188</v>
      </c>
      <c r="H388">
        <v>3751</v>
      </c>
      <c r="I388">
        <v>21439</v>
      </c>
      <c r="J388">
        <v>36</v>
      </c>
      <c r="K388">
        <v>14447</v>
      </c>
      <c r="L388">
        <v>6951</v>
      </c>
      <c r="M388">
        <v>15871</v>
      </c>
      <c r="N388">
        <v>5563</v>
      </c>
      <c r="O388" t="s">
        <v>646</v>
      </c>
      <c r="P388" t="s">
        <v>232</v>
      </c>
      <c r="Q388" s="31">
        <v>51035</v>
      </c>
      <c r="R388" s="31" t="s">
        <v>232</v>
      </c>
      <c r="S388" s="31" t="s">
        <v>646</v>
      </c>
      <c r="T388" s="31">
        <v>2.16E-3</v>
      </c>
      <c r="U388" s="31">
        <v>7.3899999999999993E-2</v>
      </c>
      <c r="V388" s="31">
        <v>0.28127000000000002</v>
      </c>
      <c r="W388" s="31">
        <v>0.14052000000000001</v>
      </c>
      <c r="X388" s="31">
        <v>40.965449999999997</v>
      </c>
    </row>
    <row r="389" spans="1:24" x14ac:dyDescent="0.25">
      <c r="A389">
        <v>428</v>
      </c>
      <c r="B389"/>
      <c r="C389">
        <v>8878</v>
      </c>
      <c r="D389">
        <v>1539</v>
      </c>
      <c r="E389"/>
      <c r="F389"/>
      <c r="G389">
        <v>210</v>
      </c>
      <c r="H389">
        <v>75</v>
      </c>
      <c r="I389">
        <v>11130</v>
      </c>
      <c r="J389">
        <v>91</v>
      </c>
      <c r="K389">
        <v>6876</v>
      </c>
      <c r="L389">
        <v>4163</v>
      </c>
      <c r="M389">
        <v>9999</v>
      </c>
      <c r="N389">
        <v>1131</v>
      </c>
      <c r="O389" t="s">
        <v>854</v>
      </c>
      <c r="P389" t="s">
        <v>438</v>
      </c>
      <c r="Q389" s="31">
        <v>28985</v>
      </c>
      <c r="R389" s="31" t="s">
        <v>438</v>
      </c>
      <c r="S389" s="31" t="s">
        <v>854</v>
      </c>
      <c r="T389" s="31">
        <v>2.3600000000000001E-3</v>
      </c>
      <c r="U389" s="31">
        <v>5.509E-2</v>
      </c>
      <c r="V389" s="31">
        <v>0.31591000000000002</v>
      </c>
      <c r="W389" s="31">
        <v>0.16558</v>
      </c>
      <c r="X389" s="31">
        <v>46.441479999999999</v>
      </c>
    </row>
    <row r="390" spans="1:24" x14ac:dyDescent="0.25">
      <c r="A390">
        <v>3951</v>
      </c>
      <c r="B390"/>
      <c r="C390">
        <v>24820</v>
      </c>
      <c r="D390">
        <v>10368</v>
      </c>
      <c r="E390"/>
      <c r="F390"/>
      <c r="G390">
        <v>872</v>
      </c>
      <c r="H390">
        <v>367</v>
      </c>
      <c r="I390">
        <v>40378</v>
      </c>
      <c r="J390">
        <v>7</v>
      </c>
      <c r="K390">
        <v>22706</v>
      </c>
      <c r="L390">
        <v>17577</v>
      </c>
      <c r="M390">
        <v>27394</v>
      </c>
      <c r="N390">
        <v>12896</v>
      </c>
      <c r="O390" t="s">
        <v>791</v>
      </c>
      <c r="P390" t="s">
        <v>371</v>
      </c>
      <c r="Q390" s="31">
        <v>84760</v>
      </c>
      <c r="R390" s="31" t="s">
        <v>371</v>
      </c>
      <c r="S390" s="31" t="s">
        <v>791</v>
      </c>
      <c r="T390" s="31">
        <v>2.5999999999999999E-3</v>
      </c>
      <c r="U390" s="31">
        <v>0.12395</v>
      </c>
      <c r="V390" s="31">
        <v>0.18035000000000001</v>
      </c>
      <c r="W390" s="31">
        <v>0.17852999999999999</v>
      </c>
      <c r="X390" s="31">
        <v>73.143900000000002</v>
      </c>
    </row>
    <row r="391" spans="1:24" x14ac:dyDescent="0.25">
      <c r="A391">
        <v>1860</v>
      </c>
      <c r="B391"/>
      <c r="C391">
        <v>16522</v>
      </c>
      <c r="D391">
        <v>4746</v>
      </c>
      <c r="E391"/>
      <c r="F391"/>
      <c r="G391">
        <v>677</v>
      </c>
      <c r="H391">
        <v>10</v>
      </c>
      <c r="I391">
        <v>23815</v>
      </c>
      <c r="J391">
        <v>43</v>
      </c>
      <c r="K391">
        <v>14854</v>
      </c>
      <c r="L391">
        <v>8854</v>
      </c>
      <c r="M391">
        <v>19105</v>
      </c>
      <c r="N391">
        <v>4647</v>
      </c>
      <c r="O391" t="s">
        <v>593</v>
      </c>
      <c r="P391" t="s">
        <v>188</v>
      </c>
      <c r="Q391" s="31">
        <v>54035</v>
      </c>
      <c r="R391" s="31" t="s">
        <v>188</v>
      </c>
      <c r="S391" s="31" t="s">
        <v>593</v>
      </c>
      <c r="T391" s="31">
        <v>3.0899999999999999E-3</v>
      </c>
      <c r="U391" s="31">
        <v>9.0230000000000005E-2</v>
      </c>
      <c r="V391" s="31">
        <v>0.27529999999999999</v>
      </c>
      <c r="W391" s="31">
        <v>0.19953000000000001</v>
      </c>
      <c r="X391" s="31">
        <v>62.01717</v>
      </c>
    </row>
    <row r="392" spans="1:24" x14ac:dyDescent="0.25">
      <c r="A392">
        <v>455</v>
      </c>
      <c r="B392"/>
      <c r="C392">
        <v>14304</v>
      </c>
      <c r="D392">
        <v>4851</v>
      </c>
      <c r="E392"/>
      <c r="F392"/>
      <c r="G392">
        <v>3448</v>
      </c>
      <c r="H392">
        <v>1311</v>
      </c>
      <c r="I392">
        <v>24369</v>
      </c>
      <c r="J392">
        <v>27</v>
      </c>
      <c r="K392">
        <v>16508</v>
      </c>
      <c r="L392">
        <v>7789</v>
      </c>
      <c r="M392">
        <v>22135</v>
      </c>
      <c r="N392">
        <v>2189</v>
      </c>
      <c r="O392" t="s">
        <v>675</v>
      </c>
      <c r="P392" t="s">
        <v>931</v>
      </c>
      <c r="Q392" s="31">
        <v>51315</v>
      </c>
      <c r="R392" s="31" t="s">
        <v>931</v>
      </c>
      <c r="S392" s="31" t="s">
        <v>675</v>
      </c>
      <c r="T392" s="31">
        <v>3.0899999999999999E-3</v>
      </c>
      <c r="U392" s="31">
        <v>9.4140000000000001E-2</v>
      </c>
      <c r="V392" s="31">
        <v>0.21904000000000001</v>
      </c>
      <c r="W392" s="31">
        <v>0.21184</v>
      </c>
      <c r="X392" s="31">
        <v>69.961539999999999</v>
      </c>
    </row>
    <row r="393" spans="1:24" x14ac:dyDescent="0.25">
      <c r="A393">
        <v>893</v>
      </c>
      <c r="B393"/>
      <c r="C393">
        <v>10157</v>
      </c>
      <c r="D393">
        <v>2909</v>
      </c>
      <c r="E393"/>
      <c r="F393"/>
      <c r="G393">
        <v>530</v>
      </c>
      <c r="H393">
        <v>1176</v>
      </c>
      <c r="I393">
        <v>15665</v>
      </c>
      <c r="J393">
        <v>40</v>
      </c>
      <c r="K393">
        <v>9608</v>
      </c>
      <c r="L393">
        <v>6007</v>
      </c>
      <c r="M393">
        <v>12835</v>
      </c>
      <c r="N393">
        <v>2820</v>
      </c>
      <c r="O393" t="s">
        <v>814</v>
      </c>
      <c r="P393" t="s">
        <v>173</v>
      </c>
      <c r="Q393" s="31">
        <v>34935</v>
      </c>
      <c r="R393" s="31" t="s">
        <v>173</v>
      </c>
      <c r="S393" s="31" t="s">
        <v>814</v>
      </c>
      <c r="T393" s="31">
        <v>3.5000000000000001E-3</v>
      </c>
      <c r="U393" s="31">
        <v>9.2530000000000001E-2</v>
      </c>
      <c r="V393" s="31">
        <v>0.21742</v>
      </c>
      <c r="W393" s="31">
        <v>0.21934000000000001</v>
      </c>
      <c r="X393" s="31">
        <v>84.937290000000004</v>
      </c>
    </row>
    <row r="394" spans="1:24" x14ac:dyDescent="0.25">
      <c r="A394">
        <v>67</v>
      </c>
      <c r="B394"/>
      <c r="C394">
        <v>3430</v>
      </c>
      <c r="D394">
        <v>1519</v>
      </c>
      <c r="E394"/>
      <c r="F394"/>
      <c r="G394">
        <v>261</v>
      </c>
      <c r="H394">
        <v>204</v>
      </c>
      <c r="I394">
        <v>5481</v>
      </c>
      <c r="J394">
        <v>13</v>
      </c>
      <c r="K394">
        <v>3400</v>
      </c>
      <c r="L394">
        <v>2068</v>
      </c>
      <c r="M394">
        <v>5141</v>
      </c>
      <c r="N394">
        <v>340</v>
      </c>
      <c r="O394" t="s">
        <v>576</v>
      </c>
      <c r="P394" t="s">
        <v>151</v>
      </c>
      <c r="Q394" s="31">
        <v>12220</v>
      </c>
      <c r="R394" s="31" t="s">
        <v>151</v>
      </c>
      <c r="S394" s="31" t="s">
        <v>576</v>
      </c>
      <c r="T394" s="31">
        <v>2.9299999999999999E-3</v>
      </c>
      <c r="U394" s="31">
        <v>0.12762999999999999</v>
      </c>
      <c r="V394" s="31">
        <v>0.17913999999999999</v>
      </c>
      <c r="W394" s="31">
        <v>0.19169</v>
      </c>
      <c r="X394" s="31">
        <v>83.851619999999997</v>
      </c>
    </row>
    <row r="395" spans="1:24" x14ac:dyDescent="0.25">
      <c r="C395" s="34"/>
      <c r="D395" s="34"/>
      <c r="E395" s="35"/>
    </row>
    <row r="396" spans="1:24" x14ac:dyDescent="0.25">
      <c r="C396" s="34"/>
      <c r="D396" s="34"/>
      <c r="E396" s="35"/>
    </row>
    <row r="397" spans="1:24" x14ac:dyDescent="0.25">
      <c r="C397" s="34"/>
      <c r="D397" s="34"/>
      <c r="E397" s="35"/>
    </row>
    <row r="398" spans="1:24" x14ac:dyDescent="0.25">
      <c r="C398" s="34"/>
      <c r="D398" s="34"/>
      <c r="E398" s="35"/>
    </row>
    <row r="399" spans="1:24" x14ac:dyDescent="0.25">
      <c r="C399" s="34"/>
      <c r="D399" s="34"/>
      <c r="E399" s="35"/>
    </row>
    <row r="400" spans="1:24" x14ac:dyDescent="0.25">
      <c r="C400" s="34"/>
      <c r="D400" s="34"/>
      <c r="E400" s="35"/>
    </row>
    <row r="401" spans="2:5" x14ac:dyDescent="0.25">
      <c r="C401" s="34"/>
      <c r="D401" s="34"/>
      <c r="E401" s="35"/>
    </row>
    <row r="402" spans="2:5" x14ac:dyDescent="0.25">
      <c r="C402" s="34"/>
      <c r="D402" s="34"/>
      <c r="E402" s="35"/>
    </row>
    <row r="403" spans="2:5" x14ac:dyDescent="0.25">
      <c r="C403" s="34"/>
      <c r="D403" s="34"/>
      <c r="E403" s="35"/>
    </row>
    <row r="404" spans="2:5" x14ac:dyDescent="0.25">
      <c r="C404" s="34"/>
      <c r="D404" s="34"/>
      <c r="E404" s="35"/>
    </row>
    <row r="405" spans="2:5" x14ac:dyDescent="0.25">
      <c r="C405" s="34"/>
      <c r="D405" s="34"/>
      <c r="E405" s="35"/>
    </row>
    <row r="406" spans="2:5" x14ac:dyDescent="0.25">
      <c r="C406" s="34"/>
      <c r="D406" s="34"/>
      <c r="E406" s="35"/>
    </row>
    <row r="407" spans="2:5" x14ac:dyDescent="0.25">
      <c r="B407" s="34"/>
      <c r="C407" s="34"/>
      <c r="D407" s="34"/>
      <c r="E407" s="34"/>
    </row>
    <row r="408" spans="2:5" x14ac:dyDescent="0.25">
      <c r="C408" s="34"/>
      <c r="D408" s="34"/>
      <c r="E408" s="35"/>
    </row>
    <row r="409" spans="2:5" x14ac:dyDescent="0.25">
      <c r="C409" s="34"/>
      <c r="D409" s="34"/>
      <c r="E409" s="35"/>
    </row>
    <row r="410" spans="2:5" x14ac:dyDescent="0.25">
      <c r="C410" s="34"/>
      <c r="D410" s="34"/>
      <c r="E410" s="35"/>
    </row>
    <row r="411" spans="2:5" x14ac:dyDescent="0.25">
      <c r="C411" s="34"/>
      <c r="D411" s="34"/>
      <c r="E411" s="35"/>
    </row>
    <row r="412" spans="2:5" x14ac:dyDescent="0.25">
      <c r="C412" s="34"/>
      <c r="D412" s="34"/>
      <c r="E412" s="35"/>
    </row>
    <row r="413" spans="2:5" x14ac:dyDescent="0.25">
      <c r="C413" s="34"/>
      <c r="D413" s="34"/>
      <c r="E413" s="35"/>
    </row>
    <row r="414" spans="2:5" x14ac:dyDescent="0.25">
      <c r="B414" s="34"/>
      <c r="C414" s="34"/>
      <c r="D414" s="34"/>
      <c r="E414" s="34"/>
    </row>
    <row r="415" spans="2:5" x14ac:dyDescent="0.25">
      <c r="C415" s="34"/>
      <c r="D415" s="34"/>
      <c r="E415" s="35"/>
    </row>
    <row r="416" spans="2:5" x14ac:dyDescent="0.25">
      <c r="C416" s="34"/>
      <c r="D416" s="34"/>
      <c r="E416" s="35"/>
    </row>
    <row r="417" spans="2:5" x14ac:dyDescent="0.25">
      <c r="C417" s="34"/>
      <c r="D417" s="34"/>
      <c r="E417" s="35"/>
    </row>
    <row r="418" spans="2:5" x14ac:dyDescent="0.25">
      <c r="C418" s="34"/>
      <c r="D418" s="34"/>
      <c r="E418" s="35"/>
    </row>
    <row r="419" spans="2:5" x14ac:dyDescent="0.25">
      <c r="B419" s="34"/>
      <c r="C419" s="34"/>
      <c r="D419" s="34"/>
      <c r="E419" s="34"/>
    </row>
    <row r="420" spans="2:5" x14ac:dyDescent="0.25">
      <c r="C420" s="34"/>
      <c r="D420" s="34"/>
      <c r="E420" s="35"/>
    </row>
    <row r="421" spans="2:5" x14ac:dyDescent="0.25">
      <c r="C421" s="34"/>
      <c r="D421" s="34"/>
      <c r="E421" s="35"/>
    </row>
    <row r="422" spans="2:5" x14ac:dyDescent="0.25">
      <c r="C422" s="34"/>
      <c r="D422" s="34"/>
      <c r="E422" s="35"/>
    </row>
    <row r="423" spans="2:5" x14ac:dyDescent="0.25">
      <c r="B423" s="34"/>
      <c r="C423" s="34"/>
      <c r="D423" s="34"/>
      <c r="E423" s="34"/>
    </row>
    <row r="424" spans="2:5" x14ac:dyDescent="0.25">
      <c r="B424" s="34"/>
      <c r="C424" s="34"/>
      <c r="D424" s="34"/>
      <c r="E424" s="34"/>
    </row>
    <row r="425" spans="2:5" x14ac:dyDescent="0.25">
      <c r="C425" s="34"/>
      <c r="D425" s="34"/>
      <c r="E425" s="35"/>
    </row>
    <row r="426" spans="2:5" x14ac:dyDescent="0.25">
      <c r="C426" s="34"/>
      <c r="D426" s="34"/>
      <c r="E426" s="35"/>
    </row>
    <row r="427" spans="2:5" x14ac:dyDescent="0.25">
      <c r="B427" s="34"/>
      <c r="C427" s="34"/>
      <c r="D427" s="34"/>
      <c r="E427" s="34"/>
    </row>
    <row r="428" spans="2:5" x14ac:dyDescent="0.25">
      <c r="C428" s="34"/>
      <c r="D428" s="34"/>
      <c r="E428" s="35"/>
    </row>
    <row r="429" spans="2:5" x14ac:dyDescent="0.25">
      <c r="C429" s="34"/>
      <c r="D429" s="34"/>
      <c r="E429" s="35"/>
    </row>
    <row r="430" spans="2:5" x14ac:dyDescent="0.25">
      <c r="C430" s="34"/>
      <c r="D430" s="34"/>
      <c r="E430" s="35"/>
    </row>
    <row r="431" spans="2:5" x14ac:dyDescent="0.25">
      <c r="B431" s="34"/>
      <c r="C431" s="34"/>
      <c r="D431" s="34"/>
      <c r="E431" s="34"/>
    </row>
    <row r="432" spans="2:5" x14ac:dyDescent="0.25">
      <c r="C432" s="34"/>
      <c r="D432" s="34"/>
      <c r="E432" s="35"/>
    </row>
    <row r="433" spans="3:5" x14ac:dyDescent="0.25">
      <c r="C433" s="34"/>
      <c r="D433" s="34"/>
      <c r="E433" s="35"/>
    </row>
    <row r="434" spans="3:5" x14ac:dyDescent="0.25">
      <c r="C434" s="34"/>
      <c r="D434" s="34"/>
      <c r="E434" s="35"/>
    </row>
    <row r="435" spans="3:5" x14ac:dyDescent="0.25">
      <c r="C435" s="34"/>
      <c r="D435" s="34"/>
      <c r="E435" s="35"/>
    </row>
    <row r="436" spans="3:5" x14ac:dyDescent="0.25">
      <c r="C436" s="34"/>
      <c r="D436" s="34"/>
      <c r="E436" s="35"/>
    </row>
    <row r="437" spans="3:5" x14ac:dyDescent="0.25">
      <c r="C437" s="34"/>
      <c r="D437" s="34"/>
      <c r="E437" s="35"/>
    </row>
    <row r="438" spans="3:5" x14ac:dyDescent="0.25">
      <c r="C438" s="34"/>
      <c r="D438" s="34"/>
      <c r="E438" s="35"/>
    </row>
    <row r="439" spans="3:5" x14ac:dyDescent="0.25">
      <c r="C439" s="34"/>
      <c r="D439" s="34"/>
      <c r="E439" s="35"/>
    </row>
    <row r="440" spans="3:5" x14ac:dyDescent="0.25">
      <c r="C440" s="34"/>
      <c r="D440" s="34"/>
      <c r="E440" s="35"/>
    </row>
    <row r="441" spans="3:5" x14ac:dyDescent="0.25">
      <c r="C441" s="34"/>
      <c r="D441" s="34"/>
      <c r="E441" s="35"/>
    </row>
    <row r="442" spans="3:5" x14ac:dyDescent="0.25">
      <c r="C442" s="34"/>
      <c r="D442" s="34"/>
      <c r="E442" s="35"/>
    </row>
    <row r="443" spans="3:5" x14ac:dyDescent="0.25">
      <c r="C443" s="34"/>
      <c r="D443" s="34"/>
      <c r="E443" s="35"/>
    </row>
    <row r="444" spans="3:5" x14ac:dyDescent="0.25">
      <c r="C444" s="34"/>
      <c r="D444" s="34"/>
      <c r="E444" s="35"/>
    </row>
    <row r="445" spans="3:5" x14ac:dyDescent="0.25">
      <c r="C445" s="34"/>
      <c r="D445" s="34"/>
      <c r="E445" s="35"/>
    </row>
    <row r="446" spans="3:5" x14ac:dyDescent="0.25">
      <c r="C446" s="34"/>
      <c r="D446" s="34"/>
      <c r="E446" s="35"/>
    </row>
    <row r="447" spans="3:5" x14ac:dyDescent="0.25">
      <c r="C447" s="34"/>
      <c r="D447" s="34"/>
      <c r="E447" s="35"/>
    </row>
    <row r="448" spans="3:5" x14ac:dyDescent="0.25">
      <c r="C448" s="34"/>
      <c r="D448" s="34"/>
      <c r="E448" s="35"/>
    </row>
    <row r="449" spans="3:5" x14ac:dyDescent="0.25">
      <c r="C449" s="34"/>
      <c r="D449" s="34"/>
      <c r="E449" s="35"/>
    </row>
    <row r="450" spans="3:5" x14ac:dyDescent="0.25">
      <c r="C450" s="34"/>
      <c r="D450" s="34"/>
      <c r="E450" s="35"/>
    </row>
    <row r="451" spans="3:5" x14ac:dyDescent="0.25">
      <c r="C451" s="34"/>
      <c r="D451" s="34"/>
      <c r="E451" s="35"/>
    </row>
    <row r="452" spans="3:5" x14ac:dyDescent="0.25">
      <c r="C452" s="34"/>
      <c r="D452" s="34"/>
      <c r="E452" s="35"/>
    </row>
    <row r="453" spans="3:5" x14ac:dyDescent="0.25">
      <c r="C453" s="34"/>
      <c r="D453" s="34"/>
      <c r="E453" s="35"/>
    </row>
    <row r="454" spans="3:5" x14ac:dyDescent="0.25">
      <c r="C454" s="34"/>
      <c r="D454" s="34"/>
      <c r="E454" s="35"/>
    </row>
    <row r="455" spans="3:5" x14ac:dyDescent="0.25">
      <c r="C455" s="34"/>
      <c r="D455" s="34"/>
      <c r="E455" s="35"/>
    </row>
    <row r="456" spans="3:5" x14ac:dyDescent="0.25">
      <c r="C456" s="34"/>
      <c r="D456" s="34"/>
      <c r="E456" s="35"/>
    </row>
    <row r="457" spans="3:5" x14ac:dyDescent="0.25">
      <c r="C457" s="34"/>
      <c r="D457" s="34"/>
      <c r="E457" s="35"/>
    </row>
    <row r="458" spans="3:5" x14ac:dyDescent="0.25">
      <c r="C458" s="34"/>
      <c r="D458" s="34"/>
      <c r="E458" s="35"/>
    </row>
    <row r="459" spans="3:5" x14ac:dyDescent="0.25">
      <c r="C459" s="34"/>
      <c r="D459" s="34"/>
      <c r="E459" s="35"/>
    </row>
    <row r="460" spans="3:5" x14ac:dyDescent="0.25">
      <c r="C460" s="34"/>
      <c r="D460" s="34"/>
      <c r="E460" s="35"/>
    </row>
    <row r="461" spans="3:5" x14ac:dyDescent="0.25">
      <c r="C461" s="34"/>
      <c r="D461" s="34"/>
      <c r="E461" s="35"/>
    </row>
    <row r="462" spans="3:5" x14ac:dyDescent="0.25">
      <c r="C462" s="34"/>
      <c r="D462" s="34"/>
      <c r="E462" s="35"/>
    </row>
    <row r="463" spans="3:5" x14ac:dyDescent="0.25">
      <c r="C463" s="34"/>
      <c r="D463" s="34"/>
      <c r="E463" s="35"/>
    </row>
    <row r="464" spans="3:5" x14ac:dyDescent="0.25">
      <c r="C464" s="34"/>
      <c r="D464" s="34"/>
      <c r="E464" s="35"/>
    </row>
    <row r="465" spans="2:5" x14ac:dyDescent="0.25">
      <c r="C465" s="34"/>
      <c r="D465" s="34"/>
      <c r="E465" s="35"/>
    </row>
    <row r="466" spans="2:5" x14ac:dyDescent="0.25">
      <c r="C466" s="34"/>
      <c r="D466" s="34"/>
      <c r="E466" s="35"/>
    </row>
    <row r="467" spans="2:5" x14ac:dyDescent="0.25">
      <c r="C467" s="34"/>
      <c r="D467" s="34"/>
      <c r="E467" s="35"/>
    </row>
    <row r="468" spans="2:5" x14ac:dyDescent="0.25">
      <c r="C468" s="34"/>
      <c r="D468" s="34"/>
      <c r="E468" s="35"/>
    </row>
    <row r="469" spans="2:5" x14ac:dyDescent="0.25">
      <c r="C469" s="34"/>
      <c r="D469" s="34"/>
      <c r="E469" s="35"/>
    </row>
    <row r="470" spans="2:5" x14ac:dyDescent="0.25">
      <c r="B470" s="34"/>
      <c r="C470" s="34"/>
      <c r="D470" s="34"/>
      <c r="E470" s="34"/>
    </row>
    <row r="471" spans="2:5" x14ac:dyDescent="0.25">
      <c r="C471" s="34"/>
      <c r="D471" s="34"/>
      <c r="E471" s="35"/>
    </row>
    <row r="472" spans="2:5" x14ac:dyDescent="0.25">
      <c r="C472" s="34"/>
      <c r="D472" s="34"/>
      <c r="E472" s="35"/>
    </row>
    <row r="473" spans="2:5" x14ac:dyDescent="0.25">
      <c r="C473" s="34"/>
      <c r="D473" s="34"/>
      <c r="E473" s="35"/>
    </row>
    <row r="474" spans="2:5" x14ac:dyDescent="0.25">
      <c r="C474" s="34"/>
      <c r="D474" s="34"/>
      <c r="E474" s="35"/>
    </row>
    <row r="475" spans="2:5" x14ac:dyDescent="0.25">
      <c r="C475" s="34"/>
      <c r="D475" s="34"/>
      <c r="E475" s="35"/>
    </row>
    <row r="476" spans="2:5" x14ac:dyDescent="0.25">
      <c r="C476" s="34"/>
      <c r="D476" s="34"/>
      <c r="E476" s="35"/>
    </row>
    <row r="477" spans="2:5" x14ac:dyDescent="0.25">
      <c r="C477" s="34"/>
      <c r="D477" s="34"/>
      <c r="E477" s="35"/>
    </row>
    <row r="478" spans="2:5" x14ac:dyDescent="0.25">
      <c r="C478" s="34"/>
      <c r="D478" s="34"/>
      <c r="E478" s="35"/>
    </row>
    <row r="479" spans="2:5" x14ac:dyDescent="0.25">
      <c r="C479" s="34"/>
      <c r="D479" s="34"/>
      <c r="E479" s="35"/>
    </row>
    <row r="480" spans="2:5" x14ac:dyDescent="0.25">
      <c r="C480" s="34"/>
      <c r="D480" s="34"/>
      <c r="E480" s="35"/>
    </row>
    <row r="481" spans="3:5" x14ac:dyDescent="0.25">
      <c r="C481" s="34"/>
      <c r="D481" s="34"/>
      <c r="E481" s="35"/>
    </row>
    <row r="482" spans="3:5" x14ac:dyDescent="0.25">
      <c r="C482" s="34"/>
      <c r="D482" s="34"/>
      <c r="E482" s="35"/>
    </row>
    <row r="483" spans="3:5" x14ac:dyDescent="0.25">
      <c r="C483" s="34"/>
      <c r="D483" s="34"/>
      <c r="E483" s="35"/>
    </row>
    <row r="484" spans="3:5" x14ac:dyDescent="0.25">
      <c r="C484" s="34"/>
      <c r="D484" s="34"/>
      <c r="E484" s="35"/>
    </row>
    <row r="485" spans="3:5" x14ac:dyDescent="0.25">
      <c r="C485" s="34"/>
      <c r="D485" s="34"/>
      <c r="E485" s="35"/>
    </row>
    <row r="486" spans="3:5" x14ac:dyDescent="0.25">
      <c r="C486" s="34"/>
      <c r="D486" s="34"/>
      <c r="E486" s="35"/>
    </row>
    <row r="487" spans="3:5" x14ac:dyDescent="0.25">
      <c r="C487" s="34"/>
      <c r="D487" s="34"/>
      <c r="E487" s="35"/>
    </row>
    <row r="488" spans="3:5" x14ac:dyDescent="0.25">
      <c r="C488" s="34"/>
      <c r="D488" s="34"/>
      <c r="E488" s="35"/>
    </row>
    <row r="489" spans="3:5" x14ac:dyDescent="0.25">
      <c r="C489" s="34"/>
      <c r="D489" s="34"/>
      <c r="E489" s="35"/>
    </row>
    <row r="490" spans="3:5" x14ac:dyDescent="0.25">
      <c r="C490" s="34"/>
      <c r="D490" s="34"/>
      <c r="E490" s="35"/>
    </row>
    <row r="491" spans="3:5" x14ac:dyDescent="0.25">
      <c r="C491" s="34"/>
      <c r="D491" s="34"/>
      <c r="E491" s="35"/>
    </row>
    <row r="492" spans="3:5" x14ac:dyDescent="0.25">
      <c r="C492" s="34"/>
      <c r="D492" s="34"/>
      <c r="E492" s="35"/>
    </row>
    <row r="493" spans="3:5" x14ac:dyDescent="0.25">
      <c r="C493" s="34"/>
      <c r="D493" s="34"/>
      <c r="E493" s="35"/>
    </row>
    <row r="494" spans="3:5" x14ac:dyDescent="0.25">
      <c r="C494" s="34"/>
      <c r="D494" s="34"/>
      <c r="E494" s="35"/>
    </row>
    <row r="495" spans="3:5" x14ac:dyDescent="0.25">
      <c r="C495" s="34"/>
      <c r="D495" s="34"/>
      <c r="E495" s="35"/>
    </row>
    <row r="496" spans="3:5" x14ac:dyDescent="0.25">
      <c r="C496" s="34"/>
      <c r="D496" s="34"/>
      <c r="E496" s="35"/>
    </row>
    <row r="497" spans="2:5" x14ac:dyDescent="0.25">
      <c r="C497" s="34"/>
      <c r="D497" s="34"/>
      <c r="E497" s="35"/>
    </row>
    <row r="498" spans="2:5" x14ac:dyDescent="0.25">
      <c r="C498" s="34"/>
      <c r="D498" s="34"/>
      <c r="E498" s="35"/>
    </row>
    <row r="499" spans="2:5" x14ac:dyDescent="0.25">
      <c r="C499" s="34"/>
      <c r="D499" s="34"/>
      <c r="E499" s="35"/>
    </row>
    <row r="500" spans="2:5" x14ac:dyDescent="0.25">
      <c r="C500" s="34"/>
      <c r="D500" s="34"/>
      <c r="E500" s="35"/>
    </row>
    <row r="501" spans="2:5" x14ac:dyDescent="0.25">
      <c r="C501" s="34"/>
      <c r="D501" s="34"/>
      <c r="E501" s="35"/>
    </row>
    <row r="502" spans="2:5" x14ac:dyDescent="0.25">
      <c r="B502" s="34"/>
      <c r="C502" s="34"/>
      <c r="D502" s="34"/>
      <c r="E502" s="34"/>
    </row>
    <row r="503" spans="2:5" x14ac:dyDescent="0.25">
      <c r="C503" s="34"/>
      <c r="D503" s="34"/>
      <c r="E503" s="35"/>
    </row>
    <row r="504" spans="2:5" x14ac:dyDescent="0.25">
      <c r="C504" s="34"/>
      <c r="D504" s="34"/>
      <c r="E504" s="35"/>
    </row>
    <row r="505" spans="2:5" x14ac:dyDescent="0.25">
      <c r="C505" s="34"/>
      <c r="D505" s="34"/>
      <c r="E505" s="35"/>
    </row>
    <row r="506" spans="2:5" x14ac:dyDescent="0.25">
      <c r="B506" s="34"/>
      <c r="C506" s="34"/>
      <c r="D506" s="34"/>
      <c r="E506" s="34"/>
    </row>
    <row r="507" spans="2:5" x14ac:dyDescent="0.25">
      <c r="C507" s="34"/>
      <c r="D507" s="34"/>
      <c r="E507" s="35"/>
    </row>
    <row r="508" spans="2:5" x14ac:dyDescent="0.25">
      <c r="C508" s="34"/>
      <c r="D508" s="34"/>
      <c r="E508" s="35"/>
    </row>
    <row r="509" spans="2:5" x14ac:dyDescent="0.25">
      <c r="C509" s="34"/>
      <c r="D509" s="34"/>
      <c r="E509" s="35"/>
    </row>
    <row r="510" spans="2:5" x14ac:dyDescent="0.25">
      <c r="C510" s="34"/>
      <c r="D510" s="34"/>
      <c r="E510" s="35"/>
    </row>
    <row r="511" spans="2:5" x14ac:dyDescent="0.25">
      <c r="C511" s="34"/>
      <c r="D511" s="34"/>
      <c r="E511" s="35"/>
    </row>
    <row r="512" spans="2:5" x14ac:dyDescent="0.25">
      <c r="C512" s="34"/>
      <c r="D512" s="34"/>
      <c r="E512" s="35"/>
    </row>
    <row r="513" spans="2:5" x14ac:dyDescent="0.25">
      <c r="C513" s="34"/>
      <c r="D513" s="34"/>
      <c r="E513" s="35"/>
    </row>
    <row r="514" spans="2:5" x14ac:dyDescent="0.25">
      <c r="C514" s="34"/>
      <c r="D514" s="34"/>
      <c r="E514" s="35"/>
    </row>
    <row r="515" spans="2:5" x14ac:dyDescent="0.25">
      <c r="C515" s="34"/>
      <c r="D515" s="34"/>
      <c r="E515" s="35"/>
    </row>
    <row r="516" spans="2:5" x14ac:dyDescent="0.25">
      <c r="C516" s="34"/>
      <c r="D516" s="34"/>
      <c r="E516" s="35"/>
    </row>
    <row r="517" spans="2:5" x14ac:dyDescent="0.25">
      <c r="C517" s="34"/>
      <c r="D517" s="34"/>
      <c r="E517" s="35"/>
    </row>
    <row r="518" spans="2:5" x14ac:dyDescent="0.25">
      <c r="C518" s="34"/>
      <c r="D518" s="34"/>
      <c r="E518" s="35"/>
    </row>
    <row r="519" spans="2:5" x14ac:dyDescent="0.25">
      <c r="C519" s="34"/>
      <c r="D519" s="34"/>
      <c r="E519" s="35"/>
    </row>
    <row r="520" spans="2:5" x14ac:dyDescent="0.25">
      <c r="C520" s="34"/>
      <c r="D520" s="34"/>
      <c r="E520" s="35"/>
    </row>
    <row r="521" spans="2:5" x14ac:dyDescent="0.25">
      <c r="C521" s="34"/>
      <c r="D521" s="34"/>
      <c r="E521" s="35"/>
    </row>
    <row r="522" spans="2:5" x14ac:dyDescent="0.25">
      <c r="C522" s="34"/>
      <c r="D522" s="34"/>
      <c r="E522" s="35"/>
    </row>
    <row r="523" spans="2:5" x14ac:dyDescent="0.25">
      <c r="C523" s="34"/>
      <c r="D523" s="34"/>
      <c r="E523" s="35"/>
    </row>
    <row r="524" spans="2:5" x14ac:dyDescent="0.25">
      <c r="B524" s="34"/>
      <c r="C524" s="34"/>
      <c r="D524" s="34"/>
      <c r="E524" s="34"/>
    </row>
    <row r="525" spans="2:5" x14ac:dyDescent="0.25">
      <c r="C525" s="34"/>
      <c r="D525" s="34"/>
      <c r="E525" s="35"/>
    </row>
    <row r="526" spans="2:5" x14ac:dyDescent="0.25">
      <c r="C526" s="34"/>
      <c r="D526" s="34"/>
      <c r="E526" s="35"/>
    </row>
    <row r="527" spans="2:5" x14ac:dyDescent="0.25">
      <c r="B527" s="34"/>
      <c r="C527" s="34"/>
      <c r="D527" s="34"/>
      <c r="E527" s="34"/>
    </row>
    <row r="528" spans="2:5" x14ac:dyDescent="0.25">
      <c r="C528" s="34"/>
      <c r="D528" s="34"/>
      <c r="E528" s="35"/>
    </row>
    <row r="529" spans="2:5" x14ac:dyDescent="0.25">
      <c r="C529" s="34"/>
      <c r="D529" s="34"/>
      <c r="E529" s="35"/>
    </row>
    <row r="530" spans="2:5" x14ac:dyDescent="0.25">
      <c r="C530" s="34"/>
      <c r="D530" s="34"/>
      <c r="E530" s="35"/>
    </row>
    <row r="531" spans="2:5" x14ac:dyDescent="0.25">
      <c r="C531" s="34"/>
      <c r="D531" s="34"/>
      <c r="E531" s="35"/>
    </row>
    <row r="532" spans="2:5" x14ac:dyDescent="0.25">
      <c r="C532" s="34"/>
      <c r="D532" s="34"/>
      <c r="E532" s="35"/>
    </row>
    <row r="533" spans="2:5" x14ac:dyDescent="0.25">
      <c r="C533" s="34"/>
      <c r="D533" s="34"/>
      <c r="E533" s="35"/>
    </row>
    <row r="534" spans="2:5" x14ac:dyDescent="0.25">
      <c r="B534" s="34"/>
      <c r="C534" s="34"/>
      <c r="D534" s="34"/>
      <c r="E534" s="34"/>
    </row>
    <row r="535" spans="2:5" x14ac:dyDescent="0.25">
      <c r="C535" s="34"/>
      <c r="D535" s="34"/>
      <c r="E535" s="35"/>
    </row>
    <row r="536" spans="2:5" x14ac:dyDescent="0.25">
      <c r="C536" s="34"/>
      <c r="D536" s="34"/>
      <c r="E536" s="35"/>
    </row>
    <row r="537" spans="2:5" x14ac:dyDescent="0.25">
      <c r="C537" s="34"/>
      <c r="D537" s="34"/>
      <c r="E537" s="35"/>
    </row>
    <row r="538" spans="2:5" x14ac:dyDescent="0.25">
      <c r="B538" s="34"/>
      <c r="C538" s="34"/>
      <c r="D538" s="34"/>
      <c r="E538" s="34"/>
    </row>
    <row r="539" spans="2:5" x14ac:dyDescent="0.25">
      <c r="C539" s="34"/>
      <c r="D539" s="34"/>
      <c r="E539" s="35"/>
    </row>
    <row r="540" spans="2:5" x14ac:dyDescent="0.25">
      <c r="C540" s="34"/>
      <c r="D540" s="34"/>
      <c r="E540" s="35"/>
    </row>
    <row r="541" spans="2:5" x14ac:dyDescent="0.25">
      <c r="C541" s="34"/>
      <c r="D541" s="34"/>
      <c r="E541" s="35"/>
    </row>
    <row r="542" spans="2:5" x14ac:dyDescent="0.25">
      <c r="B542" s="34"/>
      <c r="C542" s="34"/>
      <c r="D542" s="34"/>
      <c r="E542" s="34"/>
    </row>
    <row r="543" spans="2:5" x14ac:dyDescent="0.25">
      <c r="C543" s="34"/>
      <c r="D543" s="34"/>
      <c r="E543" s="35"/>
    </row>
    <row r="544" spans="2:5" x14ac:dyDescent="0.25">
      <c r="C544" s="34"/>
      <c r="D544" s="34"/>
      <c r="E544" s="35"/>
    </row>
    <row r="545" spans="2:5" x14ac:dyDescent="0.25">
      <c r="C545" s="34"/>
      <c r="D545" s="34"/>
      <c r="E545" s="35"/>
    </row>
    <row r="546" spans="2:5" x14ac:dyDescent="0.25">
      <c r="C546" s="34"/>
      <c r="D546" s="34"/>
      <c r="E546" s="35"/>
    </row>
    <row r="547" spans="2:5" x14ac:dyDescent="0.25">
      <c r="C547" s="34"/>
      <c r="D547" s="34"/>
      <c r="E547" s="35"/>
    </row>
    <row r="548" spans="2:5" x14ac:dyDescent="0.25">
      <c r="C548" s="34"/>
      <c r="D548" s="34"/>
      <c r="E548" s="35"/>
    </row>
    <row r="549" spans="2:5" x14ac:dyDescent="0.25">
      <c r="C549" s="34"/>
      <c r="D549" s="34"/>
      <c r="E549" s="35"/>
    </row>
    <row r="550" spans="2:5" x14ac:dyDescent="0.25">
      <c r="C550" s="34"/>
      <c r="D550" s="34"/>
      <c r="E550" s="35"/>
    </row>
    <row r="551" spans="2:5" x14ac:dyDescent="0.25">
      <c r="C551" s="34"/>
      <c r="D551" s="34"/>
      <c r="E551" s="35"/>
    </row>
    <row r="552" spans="2:5" x14ac:dyDescent="0.25">
      <c r="C552" s="34"/>
      <c r="D552" s="34"/>
      <c r="E552" s="35"/>
    </row>
    <row r="553" spans="2:5" x14ac:dyDescent="0.25">
      <c r="C553" s="34"/>
      <c r="D553" s="34"/>
      <c r="E553" s="35"/>
    </row>
    <row r="554" spans="2:5" x14ac:dyDescent="0.25">
      <c r="C554" s="34"/>
      <c r="D554" s="34"/>
      <c r="E554" s="35"/>
    </row>
    <row r="555" spans="2:5" x14ac:dyDescent="0.25">
      <c r="C555" s="34"/>
      <c r="D555" s="34"/>
      <c r="E555" s="35"/>
    </row>
    <row r="556" spans="2:5" x14ac:dyDescent="0.25">
      <c r="B556" s="34"/>
      <c r="C556" s="34"/>
      <c r="D556" s="34"/>
      <c r="E556" s="34"/>
    </row>
    <row r="557" spans="2:5" x14ac:dyDescent="0.25">
      <c r="C557" s="34"/>
      <c r="D557" s="34"/>
      <c r="E557" s="35"/>
    </row>
    <row r="558" spans="2:5" x14ac:dyDescent="0.25">
      <c r="C558" s="34"/>
      <c r="D558" s="34"/>
      <c r="E558" s="35"/>
    </row>
    <row r="559" spans="2:5" x14ac:dyDescent="0.25">
      <c r="C559" s="34"/>
      <c r="D559" s="34"/>
      <c r="E559" s="35"/>
    </row>
    <row r="560" spans="2:5" x14ac:dyDescent="0.25">
      <c r="C560" s="34"/>
      <c r="D560" s="34"/>
      <c r="E560" s="35"/>
    </row>
    <row r="561" spans="2:5" x14ac:dyDescent="0.25">
      <c r="C561" s="34"/>
      <c r="D561" s="34"/>
      <c r="E561" s="35"/>
    </row>
    <row r="562" spans="2:5" x14ac:dyDescent="0.25">
      <c r="B562" s="34"/>
      <c r="C562" s="34"/>
      <c r="D562" s="34"/>
      <c r="E562" s="34"/>
    </row>
    <row r="563" spans="2:5" x14ac:dyDescent="0.25">
      <c r="C563" s="34"/>
      <c r="D563" s="34"/>
      <c r="E563" s="35"/>
    </row>
    <row r="564" spans="2:5" x14ac:dyDescent="0.25">
      <c r="C564" s="34"/>
      <c r="D564" s="34"/>
      <c r="E564" s="35"/>
    </row>
    <row r="565" spans="2:5" x14ac:dyDescent="0.25">
      <c r="C565" s="34"/>
      <c r="D565" s="34"/>
      <c r="E565" s="35"/>
    </row>
    <row r="566" spans="2:5" x14ac:dyDescent="0.25">
      <c r="C566" s="34"/>
      <c r="D566" s="34"/>
      <c r="E566" s="35"/>
    </row>
    <row r="567" spans="2:5" x14ac:dyDescent="0.25">
      <c r="C567" s="34"/>
      <c r="D567" s="34"/>
      <c r="E567" s="35"/>
    </row>
    <row r="568" spans="2:5" x14ac:dyDescent="0.25">
      <c r="C568" s="34"/>
      <c r="D568" s="34"/>
      <c r="E568" s="35"/>
    </row>
    <row r="569" spans="2:5" x14ac:dyDescent="0.25">
      <c r="C569" s="34"/>
      <c r="D569" s="34"/>
      <c r="E569" s="35"/>
    </row>
    <row r="570" spans="2:5" x14ac:dyDescent="0.25">
      <c r="C570" s="34"/>
      <c r="D570" s="34"/>
      <c r="E570" s="35"/>
    </row>
    <row r="571" spans="2:5" x14ac:dyDescent="0.25">
      <c r="C571" s="34"/>
      <c r="D571" s="34"/>
      <c r="E571" s="35"/>
    </row>
    <row r="572" spans="2:5" x14ac:dyDescent="0.25">
      <c r="C572" s="34"/>
      <c r="D572" s="34"/>
      <c r="E572" s="35"/>
    </row>
    <row r="573" spans="2:5" x14ac:dyDescent="0.25">
      <c r="C573" s="34"/>
      <c r="D573" s="34"/>
      <c r="E573" s="35"/>
    </row>
    <row r="574" spans="2:5" x14ac:dyDescent="0.25">
      <c r="C574" s="34"/>
      <c r="D574" s="34"/>
      <c r="E574" s="35"/>
    </row>
    <row r="575" spans="2:5" x14ac:dyDescent="0.25">
      <c r="B575" s="34"/>
      <c r="C575" s="34"/>
      <c r="D575" s="34"/>
      <c r="E575" s="34"/>
    </row>
    <row r="576" spans="2:5" x14ac:dyDescent="0.25">
      <c r="B576" s="34"/>
      <c r="C576" s="34"/>
      <c r="D576" s="34"/>
      <c r="E576" s="34"/>
    </row>
    <row r="577" spans="3:5" x14ac:dyDescent="0.25">
      <c r="C577" s="34"/>
      <c r="D577" s="34"/>
      <c r="E577" s="35"/>
    </row>
    <row r="578" spans="3:5" x14ac:dyDescent="0.25">
      <c r="C578" s="34"/>
      <c r="D578" s="34"/>
      <c r="E578" s="35"/>
    </row>
    <row r="579" spans="3:5" x14ac:dyDescent="0.25">
      <c r="C579" s="34"/>
      <c r="D579" s="34"/>
      <c r="E579" s="35"/>
    </row>
    <row r="580" spans="3:5" x14ac:dyDescent="0.25">
      <c r="C580" s="34"/>
      <c r="D580" s="34"/>
      <c r="E580" s="35"/>
    </row>
    <row r="581" spans="3:5" x14ac:dyDescent="0.25">
      <c r="C581" s="34"/>
      <c r="D581" s="34"/>
      <c r="E581" s="35"/>
    </row>
    <row r="582" spans="3:5" x14ac:dyDescent="0.25">
      <c r="C582" s="34"/>
      <c r="D582" s="34"/>
      <c r="E582" s="35"/>
    </row>
    <row r="583" spans="3:5" x14ac:dyDescent="0.25">
      <c r="C583" s="34"/>
      <c r="D583" s="34"/>
      <c r="E583" s="35"/>
    </row>
    <row r="584" spans="3:5" x14ac:dyDescent="0.25">
      <c r="C584" s="34"/>
      <c r="D584" s="34"/>
      <c r="E584" s="35"/>
    </row>
    <row r="585" spans="3:5" x14ac:dyDescent="0.25">
      <c r="C585" s="34"/>
      <c r="D585" s="34"/>
      <c r="E585" s="35"/>
    </row>
    <row r="586" spans="3:5" x14ac:dyDescent="0.25">
      <c r="C586" s="34"/>
      <c r="D586" s="34"/>
      <c r="E586" s="35"/>
    </row>
    <row r="587" spans="3:5" x14ac:dyDescent="0.25">
      <c r="C587" s="34"/>
      <c r="D587" s="34"/>
      <c r="E587" s="35"/>
    </row>
    <row r="588" spans="3:5" x14ac:dyDescent="0.25">
      <c r="C588" s="34"/>
      <c r="D588" s="34"/>
      <c r="E588" s="35"/>
    </row>
    <row r="589" spans="3:5" x14ac:dyDescent="0.25">
      <c r="C589" s="34"/>
      <c r="D589" s="34"/>
      <c r="E589" s="35"/>
    </row>
    <row r="590" spans="3:5" x14ac:dyDescent="0.25">
      <c r="C590" s="34"/>
      <c r="D590" s="34"/>
      <c r="E590" s="35"/>
    </row>
    <row r="591" spans="3:5" x14ac:dyDescent="0.25">
      <c r="C591" s="34"/>
      <c r="D591" s="34"/>
      <c r="E591" s="35"/>
    </row>
    <row r="592" spans="3:5" x14ac:dyDescent="0.25">
      <c r="C592" s="34"/>
      <c r="D592" s="34"/>
      <c r="E592" s="35"/>
    </row>
    <row r="593" spans="3:5" x14ac:dyDescent="0.25">
      <c r="C593" s="34"/>
      <c r="D593" s="34"/>
      <c r="E593" s="35"/>
    </row>
    <row r="594" spans="3:5" x14ac:dyDescent="0.25">
      <c r="C594" s="34"/>
      <c r="D594" s="34"/>
      <c r="E594" s="35"/>
    </row>
    <row r="595" spans="3:5" x14ac:dyDescent="0.25">
      <c r="C595" s="34"/>
      <c r="D595" s="34"/>
      <c r="E595" s="35"/>
    </row>
    <row r="596" spans="3:5" x14ac:dyDescent="0.25">
      <c r="C596" s="34"/>
      <c r="D596" s="34"/>
      <c r="E596" s="35"/>
    </row>
    <row r="597" spans="3:5" x14ac:dyDescent="0.25">
      <c r="C597" s="34"/>
      <c r="D597" s="34"/>
      <c r="E597" s="35"/>
    </row>
    <row r="598" spans="3:5" x14ac:dyDescent="0.25">
      <c r="C598" s="34"/>
      <c r="D598" s="34"/>
      <c r="E598" s="35"/>
    </row>
    <row r="599" spans="3:5" x14ac:dyDescent="0.25">
      <c r="C599" s="34"/>
      <c r="D599" s="34"/>
      <c r="E599" s="35"/>
    </row>
    <row r="600" spans="3:5" x14ac:dyDescent="0.25">
      <c r="C600" s="34"/>
      <c r="D600" s="34"/>
      <c r="E600" s="35"/>
    </row>
    <row r="601" spans="3:5" x14ac:dyDescent="0.25">
      <c r="C601" s="34"/>
      <c r="D601" s="34"/>
      <c r="E601" s="35"/>
    </row>
    <row r="602" spans="3:5" x14ac:dyDescent="0.25">
      <c r="C602" s="34"/>
      <c r="D602" s="34"/>
      <c r="E602" s="35"/>
    </row>
    <row r="603" spans="3:5" x14ac:dyDescent="0.25">
      <c r="C603" s="34"/>
      <c r="D603" s="34"/>
      <c r="E603" s="35"/>
    </row>
    <row r="604" spans="3:5" x14ac:dyDescent="0.25">
      <c r="C604" s="34"/>
      <c r="D604" s="34"/>
      <c r="E604" s="35"/>
    </row>
    <row r="605" spans="3:5" x14ac:dyDescent="0.25">
      <c r="C605" s="34"/>
      <c r="D605" s="34"/>
      <c r="E605" s="35"/>
    </row>
    <row r="606" spans="3:5" x14ac:dyDescent="0.25">
      <c r="C606" s="34"/>
      <c r="D606" s="34"/>
      <c r="E606" s="35"/>
    </row>
    <row r="607" spans="3:5" x14ac:dyDescent="0.25">
      <c r="C607" s="34"/>
      <c r="D607" s="34"/>
      <c r="E607" s="35"/>
    </row>
    <row r="608" spans="3:5" x14ac:dyDescent="0.25">
      <c r="C608" s="34"/>
      <c r="D608" s="34"/>
      <c r="E608" s="35"/>
    </row>
    <row r="609" spans="2:5" x14ac:dyDescent="0.25">
      <c r="C609" s="34"/>
      <c r="D609" s="34"/>
      <c r="E609" s="35"/>
    </row>
    <row r="610" spans="2:5" x14ac:dyDescent="0.25">
      <c r="C610" s="34"/>
      <c r="D610" s="34"/>
      <c r="E610" s="35"/>
    </row>
    <row r="611" spans="2:5" x14ac:dyDescent="0.25">
      <c r="C611" s="34"/>
      <c r="D611" s="34"/>
      <c r="E611" s="35"/>
    </row>
    <row r="612" spans="2:5" x14ac:dyDescent="0.25">
      <c r="C612" s="34"/>
      <c r="D612" s="34"/>
      <c r="E612" s="35"/>
    </row>
    <row r="613" spans="2:5" x14ac:dyDescent="0.25">
      <c r="B613" s="34"/>
      <c r="C613" s="34"/>
      <c r="D613" s="34"/>
      <c r="E613" s="34"/>
    </row>
    <row r="614" spans="2:5" x14ac:dyDescent="0.25">
      <c r="C614" s="34"/>
      <c r="D614" s="34"/>
      <c r="E614" s="35"/>
    </row>
    <row r="615" spans="2:5" x14ac:dyDescent="0.25">
      <c r="C615" s="34"/>
      <c r="D615" s="34"/>
      <c r="E615" s="35"/>
    </row>
    <row r="616" spans="2:5" x14ac:dyDescent="0.25">
      <c r="C616" s="34"/>
      <c r="D616" s="34"/>
      <c r="E616" s="35"/>
    </row>
    <row r="617" spans="2:5" x14ac:dyDescent="0.25">
      <c r="C617" s="34"/>
      <c r="D617" s="34"/>
      <c r="E617" s="35"/>
    </row>
    <row r="618" spans="2:5" x14ac:dyDescent="0.25">
      <c r="C618" s="34"/>
      <c r="D618" s="34"/>
      <c r="E618" s="35"/>
    </row>
    <row r="619" spans="2:5" x14ac:dyDescent="0.25">
      <c r="C619" s="34"/>
      <c r="D619" s="34"/>
      <c r="E619" s="35"/>
    </row>
    <row r="620" spans="2:5" x14ac:dyDescent="0.25">
      <c r="C620" s="34"/>
      <c r="D620" s="34"/>
      <c r="E620" s="35"/>
    </row>
    <row r="621" spans="2:5" x14ac:dyDescent="0.25">
      <c r="C621" s="34"/>
      <c r="D621" s="34"/>
      <c r="E621" s="35"/>
    </row>
    <row r="622" spans="2:5" x14ac:dyDescent="0.25">
      <c r="C622" s="34"/>
      <c r="D622" s="34"/>
      <c r="E622" s="35"/>
    </row>
    <row r="623" spans="2:5" x14ac:dyDescent="0.25">
      <c r="C623" s="34"/>
      <c r="D623" s="34"/>
      <c r="E623" s="35"/>
    </row>
    <row r="624" spans="2:5" x14ac:dyDescent="0.25">
      <c r="B624" s="34"/>
      <c r="C624" s="34"/>
      <c r="D624" s="34"/>
      <c r="E624" s="34"/>
    </row>
    <row r="625" spans="3:5" x14ac:dyDescent="0.25">
      <c r="C625" s="34"/>
      <c r="D625" s="34"/>
      <c r="E625" s="35"/>
    </row>
    <row r="626" spans="3:5" x14ac:dyDescent="0.25">
      <c r="C626" s="34"/>
      <c r="D626" s="34"/>
      <c r="E626" s="35"/>
    </row>
    <row r="627" spans="3:5" x14ac:dyDescent="0.25">
      <c r="C627" s="34"/>
      <c r="D627" s="34"/>
      <c r="E627" s="35"/>
    </row>
    <row r="628" spans="3:5" x14ac:dyDescent="0.25">
      <c r="C628" s="34"/>
      <c r="D628" s="34"/>
      <c r="E628" s="35"/>
    </row>
    <row r="629" spans="3:5" x14ac:dyDescent="0.25">
      <c r="C629" s="34"/>
      <c r="D629" s="34"/>
      <c r="E629" s="35"/>
    </row>
    <row r="630" spans="3:5" x14ac:dyDescent="0.25">
      <c r="C630" s="34"/>
      <c r="D630" s="34"/>
      <c r="E630" s="35"/>
    </row>
    <row r="631" spans="3:5" x14ac:dyDescent="0.25">
      <c r="C631" s="34"/>
      <c r="D631" s="34"/>
      <c r="E631" s="35"/>
    </row>
    <row r="632" spans="3:5" x14ac:dyDescent="0.25">
      <c r="C632" s="34"/>
      <c r="D632" s="34"/>
      <c r="E632" s="35"/>
    </row>
    <row r="633" spans="3:5" x14ac:dyDescent="0.25">
      <c r="C633" s="34"/>
      <c r="D633" s="34"/>
      <c r="E633" s="35"/>
    </row>
    <row r="634" spans="3:5" x14ac:dyDescent="0.25">
      <c r="C634" s="34"/>
      <c r="D634" s="34"/>
      <c r="E634" s="35"/>
    </row>
    <row r="635" spans="3:5" x14ac:dyDescent="0.25">
      <c r="C635" s="34"/>
      <c r="D635" s="34"/>
      <c r="E635" s="35"/>
    </row>
    <row r="636" spans="3:5" x14ac:dyDescent="0.25">
      <c r="C636" s="34"/>
      <c r="D636" s="34"/>
      <c r="E636" s="35"/>
    </row>
    <row r="637" spans="3:5" x14ac:dyDescent="0.25">
      <c r="C637" s="34"/>
      <c r="D637" s="34"/>
      <c r="E637" s="35"/>
    </row>
    <row r="638" spans="3:5" x14ac:dyDescent="0.25">
      <c r="C638" s="34"/>
      <c r="D638" s="34"/>
      <c r="E638" s="35"/>
    </row>
    <row r="639" spans="3:5" x14ac:dyDescent="0.25">
      <c r="C639" s="34"/>
      <c r="D639" s="34"/>
      <c r="E639" s="35"/>
    </row>
    <row r="640" spans="3:5" x14ac:dyDescent="0.25">
      <c r="C640" s="34"/>
      <c r="D640" s="34"/>
      <c r="E640" s="35"/>
    </row>
    <row r="641" spans="2:5" x14ac:dyDescent="0.25">
      <c r="C641" s="34"/>
      <c r="D641" s="34"/>
      <c r="E641" s="35"/>
    </row>
    <row r="642" spans="2:5" x14ac:dyDescent="0.25">
      <c r="B642" s="34"/>
      <c r="C642" s="34"/>
      <c r="D642" s="34"/>
      <c r="E642" s="34"/>
    </row>
    <row r="643" spans="2:5" x14ac:dyDescent="0.25">
      <c r="C643" s="34"/>
      <c r="D643" s="34"/>
      <c r="E643" s="35"/>
    </row>
    <row r="644" spans="2:5" x14ac:dyDescent="0.25">
      <c r="C644" s="34"/>
      <c r="D644" s="34"/>
      <c r="E644" s="35"/>
    </row>
    <row r="645" spans="2:5" x14ac:dyDescent="0.25">
      <c r="C645" s="34"/>
      <c r="D645" s="34"/>
      <c r="E645" s="35"/>
    </row>
    <row r="646" spans="2:5" x14ac:dyDescent="0.25">
      <c r="C646" s="34"/>
      <c r="D646" s="34"/>
      <c r="E646" s="35"/>
    </row>
    <row r="647" spans="2:5" x14ac:dyDescent="0.25">
      <c r="C647" s="34"/>
      <c r="D647" s="34"/>
      <c r="E647" s="35"/>
    </row>
    <row r="648" spans="2:5" x14ac:dyDescent="0.25">
      <c r="C648" s="34"/>
      <c r="D648" s="34"/>
      <c r="E648" s="35"/>
    </row>
    <row r="649" spans="2:5" x14ac:dyDescent="0.25">
      <c r="C649" s="34"/>
      <c r="D649" s="34"/>
      <c r="E649" s="35"/>
    </row>
    <row r="650" spans="2:5" x14ac:dyDescent="0.25">
      <c r="C650" s="34"/>
      <c r="D650" s="34"/>
      <c r="E650" s="35"/>
    </row>
    <row r="651" spans="2:5" x14ac:dyDescent="0.25">
      <c r="C651" s="34"/>
      <c r="D651" s="34"/>
      <c r="E651" s="35"/>
    </row>
    <row r="652" spans="2:5" x14ac:dyDescent="0.25">
      <c r="B652" s="34"/>
      <c r="C652" s="34"/>
      <c r="D652" s="34"/>
      <c r="E652" s="34"/>
    </row>
    <row r="653" spans="2:5" x14ac:dyDescent="0.25">
      <c r="C653" s="34"/>
      <c r="D653" s="34"/>
      <c r="E653" s="35"/>
    </row>
    <row r="654" spans="2:5" x14ac:dyDescent="0.25">
      <c r="C654" s="34"/>
      <c r="D654" s="34"/>
      <c r="E654" s="35"/>
    </row>
    <row r="655" spans="2:5" x14ac:dyDescent="0.25">
      <c r="C655" s="34"/>
      <c r="D655" s="34"/>
      <c r="E655" s="35"/>
    </row>
    <row r="656" spans="2:5" x14ac:dyDescent="0.25">
      <c r="C656" s="34"/>
      <c r="D656" s="34"/>
      <c r="E656" s="35"/>
    </row>
    <row r="657" spans="3:5" x14ac:dyDescent="0.25">
      <c r="C657" s="34"/>
      <c r="D657" s="34"/>
      <c r="E657" s="35"/>
    </row>
    <row r="658" spans="3:5" x14ac:dyDescent="0.25">
      <c r="C658" s="34"/>
      <c r="D658" s="34"/>
      <c r="E658" s="35"/>
    </row>
    <row r="659" spans="3:5" x14ac:dyDescent="0.25">
      <c r="C659" s="34"/>
      <c r="D659" s="34"/>
      <c r="E659" s="35"/>
    </row>
    <row r="660" spans="3:5" x14ac:dyDescent="0.25">
      <c r="C660" s="34"/>
      <c r="D660" s="34"/>
      <c r="E660" s="35"/>
    </row>
    <row r="661" spans="3:5" x14ac:dyDescent="0.25">
      <c r="C661" s="34"/>
      <c r="D661" s="34"/>
      <c r="E661" s="35"/>
    </row>
    <row r="662" spans="3:5" x14ac:dyDescent="0.25">
      <c r="C662" s="34"/>
      <c r="D662" s="34"/>
      <c r="E662" s="35"/>
    </row>
    <row r="663" spans="3:5" x14ac:dyDescent="0.25">
      <c r="C663" s="34"/>
      <c r="D663" s="34"/>
      <c r="E663" s="35"/>
    </row>
    <row r="664" spans="3:5" x14ac:dyDescent="0.25">
      <c r="C664" s="34"/>
      <c r="D664" s="34"/>
      <c r="E664" s="35"/>
    </row>
    <row r="665" spans="3:5" x14ac:dyDescent="0.25">
      <c r="C665" s="34"/>
      <c r="D665" s="34"/>
      <c r="E665" s="35"/>
    </row>
    <row r="666" spans="3:5" x14ac:dyDescent="0.25">
      <c r="C666" s="34"/>
      <c r="D666" s="34"/>
      <c r="E666" s="35"/>
    </row>
    <row r="667" spans="3:5" x14ac:dyDescent="0.25">
      <c r="C667" s="34"/>
      <c r="D667" s="34"/>
      <c r="E667" s="35"/>
    </row>
    <row r="668" spans="3:5" x14ac:dyDescent="0.25">
      <c r="C668" s="34"/>
      <c r="D668" s="34"/>
      <c r="E668" s="35"/>
    </row>
    <row r="669" spans="3:5" x14ac:dyDescent="0.25">
      <c r="C669" s="34"/>
      <c r="D669" s="34"/>
      <c r="E669" s="35"/>
    </row>
    <row r="670" spans="3:5" x14ac:dyDescent="0.25">
      <c r="C670" s="34"/>
      <c r="D670" s="34"/>
      <c r="E670" s="35"/>
    </row>
    <row r="671" spans="3:5" x14ac:dyDescent="0.25">
      <c r="C671" s="34"/>
      <c r="D671" s="34"/>
      <c r="E671" s="35"/>
    </row>
    <row r="672" spans="3:5" x14ac:dyDescent="0.25">
      <c r="C672" s="34"/>
      <c r="D672" s="34"/>
      <c r="E672" s="35"/>
    </row>
    <row r="673" spans="2:5" x14ac:dyDescent="0.25">
      <c r="C673" s="34"/>
      <c r="D673" s="34"/>
      <c r="E673" s="35"/>
    </row>
    <row r="674" spans="2:5" x14ac:dyDescent="0.25">
      <c r="B674" s="34"/>
      <c r="C674" s="34"/>
      <c r="D674" s="34"/>
      <c r="E674" s="34"/>
    </row>
    <row r="675" spans="2:5" x14ac:dyDescent="0.25">
      <c r="C675" s="34"/>
      <c r="D675" s="34"/>
      <c r="E675" s="35"/>
    </row>
    <row r="676" spans="2:5" x14ac:dyDescent="0.25">
      <c r="C676" s="34"/>
      <c r="D676" s="34"/>
      <c r="E676" s="35"/>
    </row>
    <row r="677" spans="2:5" x14ac:dyDescent="0.25">
      <c r="C677" s="34"/>
      <c r="D677" s="34"/>
      <c r="E677" s="35"/>
    </row>
    <row r="678" spans="2:5" x14ac:dyDescent="0.25">
      <c r="C678" s="34"/>
      <c r="D678" s="34"/>
      <c r="E678" s="35"/>
    </row>
    <row r="679" spans="2:5" x14ac:dyDescent="0.25">
      <c r="C679" s="34"/>
      <c r="D679" s="34"/>
      <c r="E679" s="35"/>
    </row>
    <row r="680" spans="2:5" x14ac:dyDescent="0.25">
      <c r="C680" s="34"/>
      <c r="D680" s="34"/>
      <c r="E680" s="35"/>
    </row>
    <row r="681" spans="2:5" x14ac:dyDescent="0.25">
      <c r="C681" s="34"/>
      <c r="D681" s="34"/>
      <c r="E681" s="35"/>
    </row>
    <row r="682" spans="2:5" x14ac:dyDescent="0.25">
      <c r="C682" s="34"/>
      <c r="D682" s="34"/>
      <c r="E682" s="35"/>
    </row>
    <row r="683" spans="2:5" x14ac:dyDescent="0.25">
      <c r="C683" s="34"/>
      <c r="D683" s="34"/>
      <c r="E683" s="35"/>
    </row>
    <row r="684" spans="2:5" x14ac:dyDescent="0.25">
      <c r="C684" s="34"/>
      <c r="D684" s="34"/>
      <c r="E684" s="35"/>
    </row>
    <row r="685" spans="2:5" x14ac:dyDescent="0.25">
      <c r="C685" s="34"/>
      <c r="D685" s="34"/>
      <c r="E685" s="35"/>
    </row>
    <row r="686" spans="2:5" x14ac:dyDescent="0.25">
      <c r="C686" s="34"/>
      <c r="D686" s="34"/>
      <c r="E686" s="35"/>
    </row>
    <row r="687" spans="2:5" x14ac:dyDescent="0.25">
      <c r="C687" s="34"/>
      <c r="D687" s="34"/>
      <c r="E687" s="35"/>
    </row>
    <row r="688" spans="2:5" x14ac:dyDescent="0.25">
      <c r="C688" s="34"/>
      <c r="D688" s="34"/>
      <c r="E688" s="35"/>
    </row>
    <row r="689" spans="3:5" x14ac:dyDescent="0.25">
      <c r="C689" s="34"/>
      <c r="D689" s="34"/>
      <c r="E689" s="35"/>
    </row>
    <row r="690" spans="3:5" x14ac:dyDescent="0.25">
      <c r="C690" s="34"/>
      <c r="D690" s="34"/>
      <c r="E690" s="35"/>
    </row>
    <row r="691" spans="3:5" x14ac:dyDescent="0.25">
      <c r="C691" s="34"/>
      <c r="D691" s="34"/>
      <c r="E691" s="35"/>
    </row>
    <row r="692" spans="3:5" x14ac:dyDescent="0.25">
      <c r="C692" s="34"/>
      <c r="D692" s="34"/>
      <c r="E692" s="35"/>
    </row>
    <row r="693" spans="3:5" x14ac:dyDescent="0.25">
      <c r="C693" s="34"/>
      <c r="D693" s="34"/>
      <c r="E693" s="35"/>
    </row>
    <row r="694" spans="3:5" x14ac:dyDescent="0.25">
      <c r="C694" s="34"/>
      <c r="D694" s="34"/>
      <c r="E694" s="35"/>
    </row>
    <row r="695" spans="3:5" x14ac:dyDescent="0.25">
      <c r="C695" s="34"/>
      <c r="D695" s="34"/>
      <c r="E695" s="35"/>
    </row>
    <row r="696" spans="3:5" x14ac:dyDescent="0.25">
      <c r="C696" s="34"/>
      <c r="D696" s="34"/>
      <c r="E696" s="35"/>
    </row>
    <row r="697" spans="3:5" x14ac:dyDescent="0.25">
      <c r="C697" s="34"/>
      <c r="D697" s="34"/>
      <c r="E697" s="35"/>
    </row>
    <row r="698" spans="3:5" x14ac:dyDescent="0.25">
      <c r="C698" s="34"/>
      <c r="D698" s="34"/>
      <c r="E698" s="35"/>
    </row>
    <row r="699" spans="3:5" x14ac:dyDescent="0.25">
      <c r="C699" s="34"/>
      <c r="D699" s="34"/>
      <c r="E699" s="35"/>
    </row>
    <row r="700" spans="3:5" x14ac:dyDescent="0.25">
      <c r="C700" s="34"/>
      <c r="D700" s="34"/>
      <c r="E700" s="35"/>
    </row>
    <row r="701" spans="3:5" x14ac:dyDescent="0.25">
      <c r="C701" s="34"/>
      <c r="D701" s="34"/>
      <c r="E701" s="35"/>
    </row>
    <row r="702" spans="3:5" x14ac:dyDescent="0.25">
      <c r="C702" s="34"/>
      <c r="D702" s="34"/>
      <c r="E702" s="35"/>
    </row>
    <row r="703" spans="3:5" x14ac:dyDescent="0.25">
      <c r="C703" s="34"/>
      <c r="D703" s="34"/>
      <c r="E703" s="35"/>
    </row>
    <row r="704" spans="3:5" x14ac:dyDescent="0.25">
      <c r="C704" s="34"/>
      <c r="D704" s="34"/>
      <c r="E704" s="35"/>
    </row>
    <row r="705" spans="2:5" x14ac:dyDescent="0.25">
      <c r="C705" s="34"/>
      <c r="D705" s="34"/>
      <c r="E705" s="35"/>
    </row>
    <row r="706" spans="2:5" x14ac:dyDescent="0.25">
      <c r="C706" s="34"/>
      <c r="D706" s="34"/>
      <c r="E706" s="35"/>
    </row>
    <row r="707" spans="2:5" x14ac:dyDescent="0.25">
      <c r="C707" s="34"/>
      <c r="D707" s="34"/>
      <c r="E707" s="35"/>
    </row>
    <row r="708" spans="2:5" x14ac:dyDescent="0.25">
      <c r="C708" s="34"/>
      <c r="D708" s="34"/>
      <c r="E708" s="35"/>
    </row>
    <row r="709" spans="2:5" x14ac:dyDescent="0.25">
      <c r="C709" s="34"/>
      <c r="D709" s="34"/>
      <c r="E709" s="35"/>
    </row>
    <row r="710" spans="2:5" x14ac:dyDescent="0.25">
      <c r="C710" s="34"/>
      <c r="D710" s="34"/>
      <c r="E710" s="35"/>
    </row>
    <row r="711" spans="2:5" x14ac:dyDescent="0.25">
      <c r="C711" s="34"/>
      <c r="D711" s="34"/>
      <c r="E711" s="35"/>
    </row>
    <row r="712" spans="2:5" x14ac:dyDescent="0.25">
      <c r="C712" s="34"/>
      <c r="D712" s="34"/>
      <c r="E712" s="35"/>
    </row>
    <row r="713" spans="2:5" x14ac:dyDescent="0.25">
      <c r="B713" s="34"/>
      <c r="C713" s="34"/>
      <c r="D713" s="34"/>
      <c r="E713" s="34"/>
    </row>
    <row r="714" spans="2:5" x14ac:dyDescent="0.25">
      <c r="C714" s="34"/>
      <c r="D714" s="34"/>
      <c r="E714" s="35"/>
    </row>
    <row r="715" spans="2:5" x14ac:dyDescent="0.25">
      <c r="C715" s="34"/>
      <c r="D715" s="34"/>
      <c r="E715" s="35"/>
    </row>
    <row r="716" spans="2:5" x14ac:dyDescent="0.25">
      <c r="C716" s="34"/>
      <c r="D716" s="34"/>
      <c r="E716" s="35"/>
    </row>
    <row r="717" spans="2:5" x14ac:dyDescent="0.25">
      <c r="C717" s="34"/>
      <c r="D717" s="34"/>
      <c r="E717" s="35"/>
    </row>
    <row r="718" spans="2:5" x14ac:dyDescent="0.25">
      <c r="C718" s="34"/>
      <c r="D718" s="34"/>
      <c r="E718" s="35"/>
    </row>
    <row r="719" spans="2:5" x14ac:dyDescent="0.25">
      <c r="C719" s="34"/>
      <c r="D719" s="34"/>
      <c r="E719" s="35"/>
    </row>
    <row r="720" spans="2:5" x14ac:dyDescent="0.25">
      <c r="C720" s="34"/>
      <c r="D720" s="34"/>
      <c r="E720" s="35"/>
    </row>
    <row r="721" spans="2:5" x14ac:dyDescent="0.25">
      <c r="C721" s="34"/>
      <c r="D721" s="34"/>
      <c r="E721" s="35"/>
    </row>
    <row r="722" spans="2:5" x14ac:dyDescent="0.25">
      <c r="C722" s="34"/>
      <c r="D722" s="34"/>
      <c r="E722" s="35"/>
    </row>
    <row r="723" spans="2:5" x14ac:dyDescent="0.25">
      <c r="C723" s="34"/>
      <c r="D723" s="34"/>
      <c r="E723" s="35"/>
    </row>
    <row r="724" spans="2:5" x14ac:dyDescent="0.25">
      <c r="C724" s="34"/>
      <c r="D724" s="34"/>
      <c r="E724" s="35"/>
    </row>
    <row r="725" spans="2:5" x14ac:dyDescent="0.25">
      <c r="C725" s="34"/>
      <c r="D725" s="34"/>
      <c r="E725" s="35"/>
    </row>
    <row r="726" spans="2:5" x14ac:dyDescent="0.25">
      <c r="C726" s="34"/>
      <c r="D726" s="34"/>
      <c r="E726" s="35"/>
    </row>
    <row r="727" spans="2:5" x14ac:dyDescent="0.25">
      <c r="C727" s="34"/>
      <c r="D727" s="34"/>
      <c r="E727" s="35"/>
    </row>
    <row r="728" spans="2:5" x14ac:dyDescent="0.25">
      <c r="C728" s="34"/>
      <c r="D728" s="34"/>
      <c r="E728" s="35"/>
    </row>
    <row r="729" spans="2:5" x14ac:dyDescent="0.25">
      <c r="B729" s="34"/>
      <c r="C729" s="34"/>
      <c r="D729" s="34"/>
      <c r="E729" s="34"/>
    </row>
    <row r="730" spans="2:5" x14ac:dyDescent="0.25">
      <c r="C730" s="34"/>
      <c r="D730" s="34"/>
      <c r="E730" s="35"/>
    </row>
    <row r="731" spans="2:5" x14ac:dyDescent="0.25">
      <c r="C731" s="34"/>
      <c r="D731" s="34"/>
      <c r="E731" s="35"/>
    </row>
    <row r="732" spans="2:5" x14ac:dyDescent="0.25">
      <c r="C732" s="34"/>
      <c r="D732" s="34"/>
      <c r="E732" s="35"/>
    </row>
    <row r="733" spans="2:5" x14ac:dyDescent="0.25">
      <c r="B733" s="34"/>
      <c r="C733" s="34"/>
      <c r="D733" s="34"/>
      <c r="E733" s="34"/>
    </row>
    <row r="734" spans="2:5" x14ac:dyDescent="0.25">
      <c r="C734" s="34"/>
      <c r="D734" s="34"/>
      <c r="E734" s="35"/>
    </row>
    <row r="735" spans="2:5" x14ac:dyDescent="0.25">
      <c r="C735" s="34"/>
      <c r="D735" s="34"/>
      <c r="E735" s="35"/>
    </row>
    <row r="736" spans="2:5" x14ac:dyDescent="0.25">
      <c r="C736" s="34"/>
      <c r="D736" s="34"/>
      <c r="E736" s="35"/>
    </row>
    <row r="737" spans="3:5" x14ac:dyDescent="0.25">
      <c r="C737" s="34"/>
      <c r="D737" s="34"/>
      <c r="E737" s="35"/>
    </row>
    <row r="738" spans="3:5" x14ac:dyDescent="0.25">
      <c r="C738" s="34"/>
      <c r="D738" s="34"/>
      <c r="E738" s="35"/>
    </row>
    <row r="739" spans="3:5" x14ac:dyDescent="0.25">
      <c r="C739" s="34"/>
      <c r="D739" s="34"/>
      <c r="E739" s="35"/>
    </row>
    <row r="740" spans="3:5" x14ac:dyDescent="0.25">
      <c r="C740" s="34"/>
      <c r="D740" s="34"/>
      <c r="E740" s="35"/>
    </row>
    <row r="741" spans="3:5" x14ac:dyDescent="0.25">
      <c r="C741" s="34"/>
      <c r="D741" s="34"/>
      <c r="E741" s="35"/>
    </row>
    <row r="742" spans="3:5" x14ac:dyDescent="0.25">
      <c r="C742" s="34"/>
      <c r="D742" s="34"/>
      <c r="E742" s="35"/>
    </row>
    <row r="743" spans="3:5" x14ac:dyDescent="0.25">
      <c r="C743" s="34"/>
      <c r="D743" s="34"/>
      <c r="E743" s="35"/>
    </row>
    <row r="744" spans="3:5" x14ac:dyDescent="0.25">
      <c r="C744" s="34"/>
      <c r="D744" s="34"/>
      <c r="E744" s="35"/>
    </row>
    <row r="745" spans="3:5" x14ac:dyDescent="0.25">
      <c r="C745" s="34"/>
      <c r="D745" s="34"/>
      <c r="E745" s="35"/>
    </row>
    <row r="746" spans="3:5" x14ac:dyDescent="0.25">
      <c r="C746" s="34"/>
      <c r="D746" s="34"/>
      <c r="E746" s="35"/>
    </row>
    <row r="747" spans="3:5" x14ac:dyDescent="0.25">
      <c r="C747" s="34"/>
      <c r="D747" s="34"/>
      <c r="E747" s="35"/>
    </row>
    <row r="748" spans="3:5" x14ac:dyDescent="0.25">
      <c r="C748" s="34"/>
      <c r="D748" s="34"/>
      <c r="E748" s="35"/>
    </row>
    <row r="749" spans="3:5" x14ac:dyDescent="0.25">
      <c r="C749" s="34"/>
      <c r="D749" s="34"/>
      <c r="E749" s="35"/>
    </row>
    <row r="750" spans="3:5" x14ac:dyDescent="0.25">
      <c r="C750" s="34"/>
      <c r="D750" s="34"/>
      <c r="E750" s="35"/>
    </row>
    <row r="751" spans="3:5" x14ac:dyDescent="0.25">
      <c r="C751" s="34"/>
      <c r="D751" s="34"/>
      <c r="E751" s="35"/>
    </row>
    <row r="752" spans="3:5" x14ac:dyDescent="0.25">
      <c r="C752" s="34"/>
      <c r="D752" s="34"/>
      <c r="E752" s="35"/>
    </row>
    <row r="753" spans="3:5" x14ac:dyDescent="0.25">
      <c r="C753" s="34"/>
      <c r="D753" s="34"/>
      <c r="E753" s="35"/>
    </row>
    <row r="754" spans="3:5" x14ac:dyDescent="0.25">
      <c r="C754" s="34"/>
      <c r="D754" s="34"/>
      <c r="E754" s="35"/>
    </row>
    <row r="755" spans="3:5" x14ac:dyDescent="0.25">
      <c r="C755" s="34"/>
      <c r="D755" s="34"/>
      <c r="E755" s="35"/>
    </row>
    <row r="756" spans="3:5" x14ac:dyDescent="0.25">
      <c r="C756" s="34"/>
      <c r="D756" s="34"/>
      <c r="E756" s="35"/>
    </row>
    <row r="757" spans="3:5" x14ac:dyDescent="0.25">
      <c r="C757" s="34"/>
      <c r="D757" s="34"/>
      <c r="E757" s="35"/>
    </row>
    <row r="758" spans="3:5" x14ac:dyDescent="0.25">
      <c r="C758" s="34"/>
      <c r="D758" s="34"/>
      <c r="E758" s="35"/>
    </row>
    <row r="759" spans="3:5" x14ac:dyDescent="0.25">
      <c r="C759" s="34"/>
      <c r="D759" s="34"/>
      <c r="E759" s="35"/>
    </row>
    <row r="760" spans="3:5" x14ac:dyDescent="0.25">
      <c r="C760" s="34"/>
      <c r="D760" s="34"/>
      <c r="E760" s="35"/>
    </row>
    <row r="761" spans="3:5" x14ac:dyDescent="0.25">
      <c r="C761" s="34"/>
      <c r="D761" s="34"/>
      <c r="E761" s="35"/>
    </row>
    <row r="762" spans="3:5" x14ac:dyDescent="0.25">
      <c r="C762" s="34"/>
      <c r="D762" s="34"/>
      <c r="E762" s="35"/>
    </row>
    <row r="763" spans="3:5" x14ac:dyDescent="0.25">
      <c r="C763" s="34"/>
      <c r="D763" s="34"/>
      <c r="E763" s="35"/>
    </row>
    <row r="764" spans="3:5" x14ac:dyDescent="0.25">
      <c r="C764" s="34"/>
      <c r="D764" s="34"/>
      <c r="E764" s="35"/>
    </row>
    <row r="765" spans="3:5" x14ac:dyDescent="0.25">
      <c r="C765" s="34"/>
      <c r="D765" s="34"/>
      <c r="E765" s="35"/>
    </row>
    <row r="766" spans="3:5" x14ac:dyDescent="0.25">
      <c r="C766" s="34"/>
      <c r="D766" s="34"/>
      <c r="E766" s="35"/>
    </row>
    <row r="767" spans="3:5" x14ac:dyDescent="0.25">
      <c r="C767" s="34"/>
      <c r="D767" s="34"/>
      <c r="E767" s="35"/>
    </row>
    <row r="768" spans="3:5" x14ac:dyDescent="0.25">
      <c r="C768" s="34"/>
      <c r="D768" s="34"/>
      <c r="E768" s="35"/>
    </row>
    <row r="769" spans="2:5" x14ac:dyDescent="0.25">
      <c r="C769" s="34"/>
      <c r="D769" s="34"/>
      <c r="E769" s="35"/>
    </row>
    <row r="770" spans="2:5" x14ac:dyDescent="0.25">
      <c r="C770" s="34"/>
      <c r="D770" s="34"/>
      <c r="E770" s="35"/>
    </row>
    <row r="771" spans="2:5" x14ac:dyDescent="0.25">
      <c r="C771" s="34"/>
      <c r="D771" s="34"/>
      <c r="E771" s="35"/>
    </row>
    <row r="772" spans="2:5" x14ac:dyDescent="0.25">
      <c r="C772" s="34"/>
      <c r="D772" s="34"/>
      <c r="E772" s="35"/>
    </row>
    <row r="773" spans="2:5" x14ac:dyDescent="0.25">
      <c r="C773" s="34"/>
      <c r="D773" s="34"/>
      <c r="E773" s="35"/>
    </row>
    <row r="774" spans="2:5" x14ac:dyDescent="0.25">
      <c r="C774" s="34"/>
      <c r="D774" s="34"/>
      <c r="E774" s="35"/>
    </row>
    <row r="775" spans="2:5" x14ac:dyDescent="0.25">
      <c r="C775" s="34"/>
      <c r="D775" s="34"/>
      <c r="E775" s="35"/>
    </row>
    <row r="776" spans="2:5" x14ac:dyDescent="0.25">
      <c r="C776" s="34"/>
      <c r="D776" s="34"/>
      <c r="E776" s="35"/>
    </row>
    <row r="777" spans="2:5" x14ac:dyDescent="0.25">
      <c r="C777" s="34"/>
      <c r="D777" s="34"/>
      <c r="E777" s="35"/>
    </row>
    <row r="778" spans="2:5" x14ac:dyDescent="0.25">
      <c r="B778" s="34"/>
      <c r="C778" s="34"/>
      <c r="D778" s="34"/>
      <c r="E778" s="34"/>
    </row>
    <row r="779" spans="2:5" x14ac:dyDescent="0.25">
      <c r="C779" s="34"/>
      <c r="D779" s="34"/>
      <c r="E779" s="35"/>
    </row>
    <row r="780" spans="2:5" x14ac:dyDescent="0.25">
      <c r="C780" s="34"/>
      <c r="D780" s="34"/>
      <c r="E780" s="35"/>
    </row>
    <row r="781" spans="2:5" x14ac:dyDescent="0.25">
      <c r="C781" s="34"/>
      <c r="D781" s="34"/>
      <c r="E781" s="35"/>
    </row>
    <row r="782" spans="2:5" x14ac:dyDescent="0.25">
      <c r="C782" s="34"/>
      <c r="D782" s="34"/>
      <c r="E782" s="35"/>
    </row>
    <row r="783" spans="2:5" x14ac:dyDescent="0.25">
      <c r="C783" s="34"/>
      <c r="D783" s="34"/>
      <c r="E783" s="35"/>
    </row>
    <row r="784" spans="2:5" x14ac:dyDescent="0.25">
      <c r="C784" s="34"/>
      <c r="D784" s="34"/>
      <c r="E784" s="35"/>
    </row>
    <row r="785" spans="2:5" x14ac:dyDescent="0.25">
      <c r="C785" s="34"/>
      <c r="D785" s="34"/>
      <c r="E785" s="35"/>
    </row>
    <row r="786" spans="2:5" x14ac:dyDescent="0.25">
      <c r="C786" s="34"/>
      <c r="D786" s="34"/>
      <c r="E786" s="35"/>
    </row>
    <row r="787" spans="2:5" x14ac:dyDescent="0.25">
      <c r="C787" s="34"/>
      <c r="D787" s="34"/>
      <c r="E787" s="35"/>
    </row>
    <row r="788" spans="2:5" x14ac:dyDescent="0.25">
      <c r="B788" s="34"/>
      <c r="C788" s="34"/>
      <c r="D788" s="34"/>
      <c r="E788" s="34"/>
    </row>
    <row r="789" spans="2:5" x14ac:dyDescent="0.25">
      <c r="B789" s="34"/>
      <c r="C789" s="34"/>
      <c r="D789" s="34"/>
      <c r="E789" s="34"/>
    </row>
    <row r="790" spans="2:5" x14ac:dyDescent="0.25">
      <c r="C790" s="34"/>
      <c r="D790" s="34"/>
      <c r="E790" s="35"/>
    </row>
    <row r="791" spans="2:5" x14ac:dyDescent="0.25">
      <c r="C791" s="34"/>
      <c r="D791" s="34"/>
      <c r="E791" s="35"/>
    </row>
    <row r="792" spans="2:5" x14ac:dyDescent="0.25">
      <c r="C792" s="34"/>
      <c r="D792" s="34"/>
      <c r="E792" s="35"/>
    </row>
    <row r="793" spans="2:5" x14ac:dyDescent="0.25">
      <c r="C793" s="34"/>
      <c r="D793" s="34"/>
      <c r="E793" s="35"/>
    </row>
    <row r="794" spans="2:5" x14ac:dyDescent="0.25">
      <c r="C794" s="34"/>
      <c r="D794" s="34"/>
      <c r="E794" s="35"/>
    </row>
    <row r="795" spans="2:5" x14ac:dyDescent="0.25">
      <c r="C795" s="34"/>
      <c r="D795" s="34"/>
      <c r="E795" s="35"/>
    </row>
    <row r="796" spans="2:5" x14ac:dyDescent="0.25">
      <c r="C796" s="34"/>
      <c r="D796" s="34"/>
      <c r="E796" s="35"/>
    </row>
    <row r="797" spans="2:5" x14ac:dyDescent="0.25">
      <c r="B797" s="34"/>
      <c r="C797" s="34"/>
      <c r="D797" s="34"/>
      <c r="E797" s="34"/>
    </row>
    <row r="798" spans="2:5" x14ac:dyDescent="0.25">
      <c r="C798" s="34"/>
      <c r="D798" s="34"/>
      <c r="E798" s="35"/>
    </row>
    <row r="799" spans="2:5" x14ac:dyDescent="0.25">
      <c r="C799" s="34"/>
      <c r="D799" s="34"/>
      <c r="E799" s="35"/>
    </row>
    <row r="800" spans="2:5" x14ac:dyDescent="0.25">
      <c r="C800" s="34"/>
      <c r="D800" s="34"/>
      <c r="E800" s="35"/>
    </row>
    <row r="801" spans="2:5" x14ac:dyDescent="0.25">
      <c r="C801" s="34"/>
      <c r="D801" s="34"/>
      <c r="E801" s="35"/>
    </row>
    <row r="802" spans="2:5" x14ac:dyDescent="0.25">
      <c r="C802" s="34"/>
      <c r="D802" s="34"/>
      <c r="E802" s="35"/>
    </row>
    <row r="803" spans="2:5" x14ac:dyDescent="0.25">
      <c r="C803" s="34"/>
      <c r="D803" s="34"/>
      <c r="E803" s="35"/>
    </row>
    <row r="804" spans="2:5" x14ac:dyDescent="0.25">
      <c r="C804" s="34"/>
      <c r="D804" s="34"/>
      <c r="E804" s="35"/>
    </row>
    <row r="805" spans="2:5" x14ac:dyDescent="0.25">
      <c r="C805" s="34"/>
      <c r="D805" s="34"/>
      <c r="E805" s="35"/>
    </row>
    <row r="806" spans="2:5" x14ac:dyDescent="0.25">
      <c r="C806" s="34"/>
      <c r="D806" s="34"/>
      <c r="E806" s="35"/>
    </row>
    <row r="807" spans="2:5" x14ac:dyDescent="0.25">
      <c r="B807" s="34"/>
      <c r="C807" s="34"/>
      <c r="D807" s="34"/>
      <c r="E807" s="34"/>
    </row>
    <row r="808" spans="2:5" x14ac:dyDescent="0.25">
      <c r="C808" s="34"/>
      <c r="D808" s="34"/>
      <c r="E808" s="35"/>
    </row>
    <row r="809" spans="2:5" x14ac:dyDescent="0.25">
      <c r="C809" s="34"/>
      <c r="D809" s="34"/>
      <c r="E809" s="35"/>
    </row>
    <row r="810" spans="2:5" x14ac:dyDescent="0.25">
      <c r="C810" s="34"/>
      <c r="D810" s="34"/>
      <c r="E810" s="35"/>
    </row>
    <row r="811" spans="2:5" x14ac:dyDescent="0.25">
      <c r="C811" s="34"/>
      <c r="D811" s="34"/>
      <c r="E811" s="35"/>
    </row>
    <row r="812" spans="2:5" x14ac:dyDescent="0.25">
      <c r="C812" s="34"/>
      <c r="D812" s="34"/>
      <c r="E812" s="35"/>
    </row>
    <row r="813" spans="2:5" x14ac:dyDescent="0.25">
      <c r="B813" s="34"/>
      <c r="C813" s="34"/>
      <c r="D813" s="34"/>
      <c r="E813" s="34"/>
    </row>
    <row r="814" spans="2:5" x14ac:dyDescent="0.25">
      <c r="C814" s="34"/>
      <c r="D814" s="34"/>
      <c r="E814" s="35"/>
    </row>
    <row r="815" spans="2:5" x14ac:dyDescent="0.25">
      <c r="C815" s="34"/>
      <c r="D815" s="34"/>
      <c r="E815" s="35"/>
    </row>
    <row r="816" spans="2:5" x14ac:dyDescent="0.25">
      <c r="C816" s="34"/>
      <c r="D816" s="34"/>
      <c r="E816" s="35"/>
    </row>
    <row r="817" spans="2:5" x14ac:dyDescent="0.25">
      <c r="C817" s="34"/>
      <c r="D817" s="34"/>
      <c r="E817" s="35"/>
    </row>
    <row r="818" spans="2:5" x14ac:dyDescent="0.25">
      <c r="B818" s="34"/>
      <c r="C818" s="34"/>
      <c r="D818" s="34"/>
      <c r="E818" s="34"/>
    </row>
    <row r="819" spans="2:5" x14ac:dyDescent="0.25">
      <c r="C819" s="34"/>
      <c r="D819" s="34"/>
      <c r="E819" s="35"/>
    </row>
    <row r="820" spans="2:5" x14ac:dyDescent="0.25">
      <c r="C820" s="34"/>
      <c r="D820" s="34"/>
      <c r="E820" s="35"/>
    </row>
    <row r="821" spans="2:5" x14ac:dyDescent="0.25">
      <c r="B821" s="34"/>
      <c r="C821" s="34"/>
      <c r="D821" s="34"/>
      <c r="E821" s="34"/>
    </row>
    <row r="822" spans="2:5" x14ac:dyDescent="0.25">
      <c r="C822" s="34"/>
      <c r="D822" s="34"/>
      <c r="E822" s="35"/>
    </row>
    <row r="823" spans="2:5" x14ac:dyDescent="0.25">
      <c r="C823" s="34"/>
      <c r="D823" s="34"/>
      <c r="E823" s="35"/>
    </row>
    <row r="824" spans="2:5" x14ac:dyDescent="0.25">
      <c r="C824" s="34"/>
      <c r="D824" s="34"/>
      <c r="E824" s="35"/>
    </row>
    <row r="825" spans="2:5" x14ac:dyDescent="0.25">
      <c r="C825" s="34"/>
      <c r="D825" s="34"/>
      <c r="E825" s="35"/>
    </row>
    <row r="826" spans="2:5" x14ac:dyDescent="0.25">
      <c r="B826" s="34"/>
      <c r="C826" s="34"/>
      <c r="D826" s="34"/>
      <c r="E826" s="34"/>
    </row>
    <row r="827" spans="2:5" x14ac:dyDescent="0.25">
      <c r="C827" s="34"/>
      <c r="D827" s="34"/>
      <c r="E827" s="35"/>
    </row>
    <row r="828" spans="2:5" x14ac:dyDescent="0.25">
      <c r="C828" s="34"/>
      <c r="D828" s="34"/>
      <c r="E828" s="35"/>
    </row>
    <row r="829" spans="2:5" x14ac:dyDescent="0.25">
      <c r="C829" s="34"/>
      <c r="D829" s="34"/>
      <c r="E829" s="35"/>
    </row>
    <row r="830" spans="2:5" x14ac:dyDescent="0.25">
      <c r="C830" s="34"/>
      <c r="D830" s="34"/>
      <c r="E830" s="35"/>
    </row>
    <row r="831" spans="2:5" x14ac:dyDescent="0.25">
      <c r="C831" s="34"/>
      <c r="D831" s="34"/>
      <c r="E831" s="35"/>
    </row>
    <row r="832" spans="2:5" x14ac:dyDescent="0.25">
      <c r="C832" s="34"/>
      <c r="D832" s="34"/>
      <c r="E832" s="35"/>
    </row>
    <row r="833" spans="3:5" x14ac:dyDescent="0.25">
      <c r="C833" s="34"/>
      <c r="D833" s="34"/>
      <c r="E833" s="35"/>
    </row>
    <row r="834" spans="3:5" x14ac:dyDescent="0.25">
      <c r="C834" s="34"/>
      <c r="D834" s="34"/>
      <c r="E834" s="35"/>
    </row>
    <row r="835" spans="3:5" x14ac:dyDescent="0.25">
      <c r="C835" s="34"/>
      <c r="D835" s="34"/>
      <c r="E835" s="35"/>
    </row>
    <row r="836" spans="3:5" x14ac:dyDescent="0.25">
      <c r="C836" s="34"/>
      <c r="D836" s="34"/>
      <c r="E836" s="35"/>
    </row>
    <row r="837" spans="3:5" x14ac:dyDescent="0.25">
      <c r="C837" s="34"/>
      <c r="D837" s="34"/>
      <c r="E837" s="35"/>
    </row>
    <row r="838" spans="3:5" x14ac:dyDescent="0.25">
      <c r="C838" s="34"/>
      <c r="D838" s="34"/>
      <c r="E838" s="35"/>
    </row>
    <row r="839" spans="3:5" x14ac:dyDescent="0.25">
      <c r="C839" s="34"/>
      <c r="D839" s="34"/>
      <c r="E839" s="35"/>
    </row>
    <row r="840" spans="3:5" x14ac:dyDescent="0.25">
      <c r="C840" s="34"/>
      <c r="D840" s="34"/>
      <c r="E840" s="35"/>
    </row>
    <row r="841" spans="3:5" x14ac:dyDescent="0.25">
      <c r="C841" s="34"/>
      <c r="D841" s="34"/>
      <c r="E841" s="35"/>
    </row>
    <row r="842" spans="3:5" x14ac:dyDescent="0.25">
      <c r="C842" s="34"/>
      <c r="D842" s="34"/>
      <c r="E842" s="35"/>
    </row>
    <row r="843" spans="3:5" x14ac:dyDescent="0.25">
      <c r="C843" s="34"/>
      <c r="D843" s="34"/>
      <c r="E843" s="35"/>
    </row>
    <row r="844" spans="3:5" x14ac:dyDescent="0.25">
      <c r="C844" s="34"/>
      <c r="D844" s="34"/>
      <c r="E844" s="35"/>
    </row>
    <row r="845" spans="3:5" x14ac:dyDescent="0.25">
      <c r="C845" s="34"/>
      <c r="D845" s="34"/>
      <c r="E845" s="35"/>
    </row>
    <row r="846" spans="3:5" x14ac:dyDescent="0.25">
      <c r="C846" s="34"/>
      <c r="D846" s="34"/>
      <c r="E846" s="35"/>
    </row>
    <row r="847" spans="3:5" x14ac:dyDescent="0.25">
      <c r="C847" s="34"/>
      <c r="D847" s="34"/>
      <c r="E847" s="35"/>
    </row>
    <row r="848" spans="3:5" x14ac:dyDescent="0.25">
      <c r="C848" s="34"/>
      <c r="D848" s="34"/>
      <c r="E848" s="35"/>
    </row>
    <row r="849" spans="2:5" x14ac:dyDescent="0.25">
      <c r="C849" s="34"/>
      <c r="D849" s="34"/>
      <c r="E849" s="35"/>
    </row>
    <row r="850" spans="2:5" x14ac:dyDescent="0.25">
      <c r="C850" s="34"/>
      <c r="D850" s="34"/>
      <c r="E850" s="35"/>
    </row>
    <row r="851" spans="2:5" x14ac:dyDescent="0.25">
      <c r="C851" s="34"/>
      <c r="D851" s="34"/>
      <c r="E851" s="35"/>
    </row>
    <row r="852" spans="2:5" x14ac:dyDescent="0.25">
      <c r="C852" s="34"/>
      <c r="D852" s="34"/>
      <c r="E852" s="35"/>
    </row>
    <row r="853" spans="2:5" x14ac:dyDescent="0.25">
      <c r="B853" s="34"/>
      <c r="C853" s="34"/>
      <c r="D853" s="34"/>
      <c r="E853" s="34"/>
    </row>
    <row r="854" spans="2:5" x14ac:dyDescent="0.25">
      <c r="C854" s="34"/>
      <c r="D854" s="34"/>
      <c r="E854" s="35"/>
    </row>
    <row r="855" spans="2:5" x14ac:dyDescent="0.25">
      <c r="C855" s="34"/>
      <c r="D855" s="34"/>
      <c r="E855" s="35"/>
    </row>
    <row r="856" spans="2:5" x14ac:dyDescent="0.25">
      <c r="C856" s="34"/>
      <c r="D856" s="34"/>
      <c r="E856" s="35"/>
    </row>
    <row r="857" spans="2:5" x14ac:dyDescent="0.25">
      <c r="C857" s="34"/>
      <c r="D857" s="34"/>
      <c r="E857" s="35"/>
    </row>
    <row r="858" spans="2:5" x14ac:dyDescent="0.25">
      <c r="C858" s="34"/>
      <c r="D858" s="34"/>
      <c r="E858" s="35"/>
    </row>
    <row r="859" spans="2:5" x14ac:dyDescent="0.25">
      <c r="C859" s="34"/>
      <c r="D859" s="34"/>
      <c r="E859" s="35"/>
    </row>
    <row r="860" spans="2:5" x14ac:dyDescent="0.25">
      <c r="C860" s="34"/>
      <c r="D860" s="34"/>
      <c r="E860" s="35"/>
    </row>
    <row r="861" spans="2:5" x14ac:dyDescent="0.25">
      <c r="C861" s="34"/>
      <c r="D861" s="34"/>
      <c r="E861" s="35"/>
    </row>
    <row r="862" spans="2:5" x14ac:dyDescent="0.25">
      <c r="C862" s="34"/>
      <c r="D862" s="34"/>
      <c r="E862" s="35"/>
    </row>
    <row r="863" spans="2:5" x14ac:dyDescent="0.25">
      <c r="C863" s="34"/>
      <c r="D863" s="34"/>
      <c r="E863" s="35"/>
    </row>
    <row r="864" spans="2:5" x14ac:dyDescent="0.25">
      <c r="C864" s="34"/>
      <c r="D864" s="34"/>
      <c r="E864" s="35"/>
    </row>
    <row r="865" spans="3:5" x14ac:dyDescent="0.25">
      <c r="C865" s="34"/>
      <c r="D865" s="34"/>
      <c r="E865" s="35"/>
    </row>
    <row r="866" spans="3:5" x14ac:dyDescent="0.25">
      <c r="C866" s="34"/>
      <c r="D866" s="34"/>
      <c r="E866" s="35"/>
    </row>
    <row r="867" spans="3:5" x14ac:dyDescent="0.25">
      <c r="C867" s="34"/>
      <c r="D867" s="34"/>
      <c r="E867" s="35"/>
    </row>
    <row r="868" spans="3:5" x14ac:dyDescent="0.25">
      <c r="C868" s="34"/>
      <c r="D868" s="34"/>
      <c r="E868" s="35"/>
    </row>
    <row r="869" spans="3:5" x14ac:dyDescent="0.25">
      <c r="C869" s="34"/>
      <c r="D869" s="34"/>
      <c r="E869" s="35"/>
    </row>
    <row r="870" spans="3:5" x14ac:dyDescent="0.25">
      <c r="C870" s="34"/>
      <c r="D870" s="34"/>
      <c r="E870" s="35"/>
    </row>
    <row r="871" spans="3:5" x14ac:dyDescent="0.25">
      <c r="C871" s="34"/>
      <c r="D871" s="34"/>
      <c r="E871" s="35"/>
    </row>
    <row r="872" spans="3:5" x14ac:dyDescent="0.25">
      <c r="C872" s="34"/>
      <c r="D872" s="34"/>
      <c r="E872" s="35"/>
    </row>
    <row r="873" spans="3:5" x14ac:dyDescent="0.25">
      <c r="C873" s="34"/>
      <c r="D873" s="34"/>
      <c r="E873" s="35"/>
    </row>
    <row r="874" spans="3:5" x14ac:dyDescent="0.25">
      <c r="C874" s="34"/>
      <c r="D874" s="34"/>
      <c r="E874" s="35"/>
    </row>
    <row r="875" spans="3:5" x14ac:dyDescent="0.25">
      <c r="C875" s="34"/>
      <c r="D875" s="34"/>
      <c r="E875" s="35"/>
    </row>
    <row r="876" spans="3:5" x14ac:dyDescent="0.25">
      <c r="C876" s="34"/>
      <c r="D876" s="34"/>
      <c r="E876" s="35"/>
    </row>
    <row r="877" spans="3:5" x14ac:dyDescent="0.25">
      <c r="C877" s="34"/>
      <c r="D877" s="34"/>
      <c r="E877" s="35"/>
    </row>
    <row r="878" spans="3:5" x14ac:dyDescent="0.25">
      <c r="C878" s="34"/>
      <c r="D878" s="34"/>
      <c r="E878" s="35"/>
    </row>
    <row r="879" spans="3:5" x14ac:dyDescent="0.25">
      <c r="C879" s="34"/>
      <c r="D879" s="34"/>
      <c r="E879" s="35"/>
    </row>
    <row r="880" spans="3:5" x14ac:dyDescent="0.25">
      <c r="C880" s="34"/>
      <c r="D880" s="34"/>
      <c r="E880" s="35"/>
    </row>
    <row r="881" spans="2:5" x14ac:dyDescent="0.25">
      <c r="C881" s="34"/>
      <c r="D881" s="34"/>
      <c r="E881" s="35"/>
    </row>
    <row r="882" spans="2:5" x14ac:dyDescent="0.25">
      <c r="C882" s="34"/>
      <c r="D882" s="34"/>
      <c r="E882" s="35"/>
    </row>
    <row r="883" spans="2:5" x14ac:dyDescent="0.25">
      <c r="C883" s="34"/>
      <c r="D883" s="34"/>
      <c r="E883" s="35"/>
    </row>
    <row r="884" spans="2:5" x14ac:dyDescent="0.25">
      <c r="C884" s="34"/>
      <c r="D884" s="34"/>
      <c r="E884" s="35"/>
    </row>
    <row r="885" spans="2:5" x14ac:dyDescent="0.25">
      <c r="C885" s="34"/>
      <c r="D885" s="34"/>
      <c r="E885" s="35"/>
    </row>
    <row r="886" spans="2:5" x14ac:dyDescent="0.25">
      <c r="C886" s="34"/>
      <c r="D886" s="34"/>
      <c r="E886" s="35"/>
    </row>
    <row r="887" spans="2:5" x14ac:dyDescent="0.25">
      <c r="C887" s="34"/>
      <c r="D887" s="34"/>
      <c r="E887" s="35"/>
    </row>
    <row r="888" spans="2:5" x14ac:dyDescent="0.25">
      <c r="C888" s="34"/>
      <c r="D888" s="34"/>
      <c r="E888" s="35"/>
    </row>
    <row r="889" spans="2:5" x14ac:dyDescent="0.25">
      <c r="C889" s="34"/>
      <c r="D889" s="34"/>
      <c r="E889" s="35"/>
    </row>
    <row r="890" spans="2:5" x14ac:dyDescent="0.25">
      <c r="B890" s="34"/>
      <c r="C890" s="34"/>
      <c r="D890" s="34"/>
      <c r="E890" s="34"/>
    </row>
    <row r="891" spans="2:5" x14ac:dyDescent="0.25">
      <c r="C891" s="34"/>
      <c r="D891" s="34"/>
      <c r="E891" s="35"/>
    </row>
    <row r="892" spans="2:5" x14ac:dyDescent="0.25">
      <c r="C892" s="34"/>
      <c r="D892" s="34"/>
      <c r="E892" s="35"/>
    </row>
    <row r="893" spans="2:5" x14ac:dyDescent="0.25">
      <c r="C893" s="34"/>
      <c r="D893" s="34"/>
      <c r="E893" s="35"/>
    </row>
    <row r="894" spans="2:5" x14ac:dyDescent="0.25">
      <c r="C894" s="34"/>
      <c r="D894" s="34"/>
      <c r="E894" s="35"/>
    </row>
    <row r="895" spans="2:5" x14ac:dyDescent="0.25">
      <c r="C895" s="34"/>
      <c r="D895" s="34"/>
      <c r="E895" s="35"/>
    </row>
    <row r="896" spans="2:5" x14ac:dyDescent="0.25">
      <c r="C896" s="34"/>
      <c r="D896" s="34"/>
      <c r="E896" s="35"/>
    </row>
    <row r="897" spans="3:5" x14ac:dyDescent="0.25">
      <c r="C897" s="34"/>
      <c r="D897" s="34"/>
      <c r="E897" s="35"/>
    </row>
    <row r="898" spans="3:5" x14ac:dyDescent="0.25">
      <c r="C898" s="34"/>
      <c r="D898" s="34"/>
      <c r="E898" s="35"/>
    </row>
    <row r="899" spans="3:5" x14ac:dyDescent="0.25">
      <c r="C899" s="34"/>
      <c r="D899" s="34"/>
      <c r="E899" s="35"/>
    </row>
    <row r="900" spans="3:5" x14ac:dyDescent="0.25">
      <c r="C900" s="34"/>
      <c r="D900" s="34"/>
      <c r="E900" s="35"/>
    </row>
    <row r="901" spans="3:5" x14ac:dyDescent="0.25">
      <c r="C901" s="34"/>
      <c r="D901" s="34"/>
      <c r="E901" s="35"/>
    </row>
    <row r="902" spans="3:5" x14ac:dyDescent="0.25">
      <c r="C902" s="34"/>
      <c r="D902" s="34"/>
      <c r="E902" s="35"/>
    </row>
    <row r="903" spans="3:5" x14ac:dyDescent="0.25">
      <c r="C903" s="34"/>
      <c r="D903" s="34"/>
      <c r="E903" s="35"/>
    </row>
    <row r="904" spans="3:5" x14ac:dyDescent="0.25">
      <c r="C904" s="34"/>
      <c r="D904" s="34"/>
      <c r="E904" s="35"/>
    </row>
    <row r="905" spans="3:5" x14ac:dyDescent="0.25">
      <c r="C905" s="34"/>
      <c r="D905" s="34"/>
      <c r="E905" s="35"/>
    </row>
    <row r="906" spans="3:5" x14ac:dyDescent="0.25">
      <c r="C906" s="34"/>
      <c r="D906" s="34"/>
      <c r="E906" s="35"/>
    </row>
    <row r="907" spans="3:5" x14ac:dyDescent="0.25">
      <c r="C907" s="34"/>
      <c r="D907" s="34"/>
      <c r="E907" s="35"/>
    </row>
    <row r="908" spans="3:5" x14ac:dyDescent="0.25">
      <c r="C908" s="34"/>
      <c r="D908" s="34"/>
      <c r="E908" s="35"/>
    </row>
    <row r="909" spans="3:5" x14ac:dyDescent="0.25">
      <c r="C909" s="34"/>
      <c r="D909" s="34"/>
      <c r="E909" s="35"/>
    </row>
    <row r="910" spans="3:5" x14ac:dyDescent="0.25">
      <c r="C910" s="34"/>
      <c r="D910" s="34"/>
      <c r="E910" s="35"/>
    </row>
    <row r="911" spans="3:5" x14ac:dyDescent="0.25">
      <c r="C911" s="34"/>
      <c r="D911" s="34"/>
      <c r="E911" s="35"/>
    </row>
    <row r="912" spans="3:5" x14ac:dyDescent="0.25">
      <c r="C912" s="34"/>
      <c r="D912" s="34"/>
      <c r="E912" s="35"/>
    </row>
    <row r="913" spans="2:5" x14ac:dyDescent="0.25">
      <c r="C913" s="34"/>
      <c r="D913" s="34"/>
      <c r="E913" s="35"/>
    </row>
    <row r="914" spans="2:5" x14ac:dyDescent="0.25">
      <c r="C914" s="34"/>
      <c r="D914" s="34"/>
      <c r="E914" s="35"/>
    </row>
    <row r="915" spans="2:5" x14ac:dyDescent="0.25">
      <c r="C915" s="34"/>
      <c r="D915" s="34"/>
      <c r="E915" s="35"/>
    </row>
    <row r="916" spans="2:5" x14ac:dyDescent="0.25">
      <c r="C916" s="34"/>
      <c r="D916" s="34"/>
      <c r="E916" s="35"/>
    </row>
    <row r="917" spans="2:5" x14ac:dyDescent="0.25">
      <c r="B917" s="34"/>
      <c r="C917" s="34"/>
      <c r="D917" s="34"/>
      <c r="E917" s="34"/>
    </row>
    <row r="918" spans="2:5" x14ac:dyDescent="0.25">
      <c r="C918" s="34"/>
      <c r="D918" s="34"/>
      <c r="E918" s="35"/>
    </row>
    <row r="919" spans="2:5" x14ac:dyDescent="0.25">
      <c r="B919" s="34"/>
      <c r="C919" s="34"/>
      <c r="D919" s="34"/>
      <c r="E919" s="34"/>
    </row>
    <row r="920" spans="2:5" x14ac:dyDescent="0.25">
      <c r="C920" s="34"/>
      <c r="D920" s="34"/>
      <c r="E920" s="35"/>
    </row>
    <row r="921" spans="2:5" x14ac:dyDescent="0.25">
      <c r="C921" s="34"/>
      <c r="D921" s="34"/>
      <c r="E921" s="35"/>
    </row>
    <row r="922" spans="2:5" x14ac:dyDescent="0.25">
      <c r="B922" s="34"/>
      <c r="C922" s="34"/>
      <c r="D922" s="34"/>
      <c r="E922" s="34"/>
    </row>
    <row r="923" spans="2:5" x14ac:dyDescent="0.25">
      <c r="B923" s="34"/>
      <c r="C923" s="34"/>
      <c r="D923" s="34"/>
      <c r="E923" s="34"/>
    </row>
    <row r="924" spans="2:5" x14ac:dyDescent="0.25">
      <c r="C924" s="34"/>
      <c r="D924" s="34"/>
      <c r="E924" s="35"/>
    </row>
    <row r="925" spans="2:5" x14ac:dyDescent="0.25">
      <c r="C925" s="34"/>
      <c r="D925" s="34"/>
      <c r="E925" s="35"/>
    </row>
    <row r="926" spans="2:5" x14ac:dyDescent="0.25">
      <c r="C926" s="34"/>
      <c r="D926" s="34"/>
      <c r="E926" s="35"/>
    </row>
    <row r="927" spans="2:5" x14ac:dyDescent="0.25">
      <c r="B927" s="34"/>
      <c r="C927" s="34"/>
      <c r="D927" s="34"/>
      <c r="E927" s="34"/>
    </row>
    <row r="928" spans="2:5" x14ac:dyDescent="0.25">
      <c r="C928" s="34"/>
      <c r="D928" s="34"/>
      <c r="E928" s="35"/>
    </row>
    <row r="929" spans="3:5" x14ac:dyDescent="0.25">
      <c r="C929" s="34"/>
      <c r="D929" s="34"/>
      <c r="E929" s="35"/>
    </row>
    <row r="930" spans="3:5" x14ac:dyDescent="0.25">
      <c r="C930" s="34"/>
      <c r="D930" s="34"/>
      <c r="E930" s="35"/>
    </row>
    <row r="931" spans="3:5" x14ac:dyDescent="0.25">
      <c r="C931" s="34"/>
      <c r="D931" s="34"/>
      <c r="E931" s="35"/>
    </row>
    <row r="932" spans="3:5" x14ac:dyDescent="0.25">
      <c r="C932" s="34"/>
      <c r="D932" s="34"/>
      <c r="E932" s="35"/>
    </row>
    <row r="933" spans="3:5" x14ac:dyDescent="0.25">
      <c r="C933" s="34"/>
      <c r="D933" s="34"/>
      <c r="E933" s="35"/>
    </row>
    <row r="934" spans="3:5" x14ac:dyDescent="0.25">
      <c r="C934" s="34"/>
      <c r="D934" s="34"/>
      <c r="E934" s="35"/>
    </row>
    <row r="935" spans="3:5" x14ac:dyDescent="0.25">
      <c r="C935" s="34"/>
      <c r="D935" s="34"/>
      <c r="E935" s="35"/>
    </row>
    <row r="936" spans="3:5" x14ac:dyDescent="0.25">
      <c r="C936" s="34"/>
      <c r="D936" s="34"/>
      <c r="E936" s="35"/>
    </row>
    <row r="937" spans="3:5" x14ac:dyDescent="0.25">
      <c r="C937" s="34"/>
      <c r="D937" s="34"/>
      <c r="E937" s="35"/>
    </row>
    <row r="938" spans="3:5" x14ac:dyDescent="0.25">
      <c r="C938" s="34"/>
      <c r="D938" s="34"/>
      <c r="E938" s="35"/>
    </row>
    <row r="939" spans="3:5" x14ac:dyDescent="0.25">
      <c r="C939" s="34"/>
      <c r="D939" s="34"/>
      <c r="E939" s="35"/>
    </row>
    <row r="940" spans="3:5" x14ac:dyDescent="0.25">
      <c r="C940" s="34"/>
      <c r="D940" s="34"/>
      <c r="E940" s="35"/>
    </row>
    <row r="941" spans="3:5" x14ac:dyDescent="0.25">
      <c r="C941" s="34"/>
      <c r="D941" s="34"/>
      <c r="E941" s="35"/>
    </row>
    <row r="942" spans="3:5" x14ac:dyDescent="0.25">
      <c r="C942" s="34"/>
      <c r="D942" s="34"/>
      <c r="E942" s="35"/>
    </row>
    <row r="943" spans="3:5" x14ac:dyDescent="0.25">
      <c r="C943" s="34"/>
      <c r="D943" s="34"/>
      <c r="E943" s="35"/>
    </row>
    <row r="944" spans="3:5" x14ac:dyDescent="0.25">
      <c r="C944" s="34"/>
      <c r="D944" s="34"/>
      <c r="E944" s="35"/>
    </row>
    <row r="945" spans="3:5" x14ac:dyDescent="0.25">
      <c r="C945" s="34"/>
      <c r="D945" s="34"/>
      <c r="E945" s="35"/>
    </row>
    <row r="946" spans="3:5" x14ac:dyDescent="0.25">
      <c r="C946" s="34"/>
      <c r="D946" s="34"/>
      <c r="E946" s="35"/>
    </row>
    <row r="947" spans="3:5" x14ac:dyDescent="0.25">
      <c r="C947" s="34"/>
      <c r="D947" s="34"/>
      <c r="E947" s="35"/>
    </row>
    <row r="948" spans="3:5" x14ac:dyDescent="0.25">
      <c r="C948" s="34"/>
      <c r="D948" s="34"/>
      <c r="E948" s="35"/>
    </row>
    <row r="949" spans="3:5" x14ac:dyDescent="0.25">
      <c r="C949" s="34"/>
      <c r="D949" s="34"/>
      <c r="E949" s="35"/>
    </row>
    <row r="950" spans="3:5" x14ac:dyDescent="0.25">
      <c r="C950" s="34"/>
      <c r="D950" s="34"/>
      <c r="E950" s="35"/>
    </row>
    <row r="951" spans="3:5" x14ac:dyDescent="0.25">
      <c r="C951" s="34"/>
      <c r="D951" s="34"/>
      <c r="E951" s="35"/>
    </row>
    <row r="952" spans="3:5" x14ac:dyDescent="0.25">
      <c r="C952" s="34"/>
      <c r="D952" s="34"/>
      <c r="E952" s="35"/>
    </row>
    <row r="953" spans="3:5" x14ac:dyDescent="0.25">
      <c r="C953" s="34"/>
      <c r="D953" s="34"/>
      <c r="E953" s="35"/>
    </row>
    <row r="954" spans="3:5" x14ac:dyDescent="0.25">
      <c r="C954" s="34"/>
      <c r="D954" s="34"/>
      <c r="E954" s="35"/>
    </row>
    <row r="955" spans="3:5" x14ac:dyDescent="0.25">
      <c r="C955" s="34"/>
      <c r="D955" s="34"/>
      <c r="E955" s="35"/>
    </row>
    <row r="956" spans="3:5" x14ac:dyDescent="0.25">
      <c r="C956" s="34"/>
      <c r="D956" s="34"/>
      <c r="E956" s="35"/>
    </row>
    <row r="957" spans="3:5" x14ac:dyDescent="0.25">
      <c r="C957" s="34"/>
      <c r="D957" s="34"/>
      <c r="E957" s="35"/>
    </row>
    <row r="958" spans="3:5" x14ac:dyDescent="0.25">
      <c r="C958" s="34"/>
      <c r="D958" s="34"/>
      <c r="E958" s="35"/>
    </row>
    <row r="959" spans="3:5" x14ac:dyDescent="0.25">
      <c r="C959" s="34"/>
      <c r="D959" s="34"/>
      <c r="E959" s="35"/>
    </row>
    <row r="960" spans="3:5" x14ac:dyDescent="0.25">
      <c r="C960" s="34"/>
      <c r="D960" s="34"/>
      <c r="E960" s="35"/>
    </row>
    <row r="961" spans="3:5" x14ac:dyDescent="0.25">
      <c r="C961" s="34"/>
      <c r="D961" s="34"/>
      <c r="E961" s="35"/>
    </row>
    <row r="962" spans="3:5" x14ac:dyDescent="0.25">
      <c r="C962" s="34"/>
      <c r="D962" s="34"/>
      <c r="E962" s="35"/>
    </row>
    <row r="963" spans="3:5" x14ac:dyDescent="0.25">
      <c r="C963" s="34"/>
      <c r="D963" s="34"/>
      <c r="E963" s="35"/>
    </row>
    <row r="964" spans="3:5" x14ac:dyDescent="0.25">
      <c r="C964" s="34"/>
      <c r="D964" s="34"/>
      <c r="E964" s="35"/>
    </row>
    <row r="965" spans="3:5" x14ac:dyDescent="0.25">
      <c r="C965" s="34"/>
      <c r="D965" s="34"/>
      <c r="E965" s="35"/>
    </row>
    <row r="966" spans="3:5" x14ac:dyDescent="0.25">
      <c r="C966" s="34"/>
      <c r="D966" s="34"/>
      <c r="E966" s="35"/>
    </row>
    <row r="967" spans="3:5" x14ac:dyDescent="0.25">
      <c r="C967" s="34"/>
      <c r="D967" s="34"/>
      <c r="E967" s="35"/>
    </row>
    <row r="968" spans="3:5" x14ac:dyDescent="0.25">
      <c r="C968" s="34"/>
      <c r="D968" s="34"/>
      <c r="E968" s="35"/>
    </row>
    <row r="969" spans="3:5" x14ac:dyDescent="0.25">
      <c r="C969" s="34"/>
      <c r="D969" s="34"/>
      <c r="E969" s="35"/>
    </row>
    <row r="970" spans="3:5" x14ac:dyDescent="0.25">
      <c r="C970" s="34"/>
      <c r="D970" s="34"/>
      <c r="E970" s="35"/>
    </row>
    <row r="971" spans="3:5" x14ac:dyDescent="0.25">
      <c r="C971" s="34"/>
      <c r="D971" s="34"/>
      <c r="E971" s="35"/>
    </row>
    <row r="972" spans="3:5" x14ac:dyDescent="0.25">
      <c r="C972" s="34"/>
      <c r="D972" s="34"/>
      <c r="E972" s="35"/>
    </row>
    <row r="973" spans="3:5" x14ac:dyDescent="0.25">
      <c r="C973" s="34"/>
      <c r="D973" s="34"/>
      <c r="E973" s="35"/>
    </row>
    <row r="974" spans="3:5" x14ac:dyDescent="0.25">
      <c r="C974" s="34"/>
      <c r="D974" s="34"/>
      <c r="E974" s="35"/>
    </row>
    <row r="975" spans="3:5" x14ac:dyDescent="0.25">
      <c r="C975" s="34"/>
      <c r="D975" s="34"/>
      <c r="E975" s="35"/>
    </row>
    <row r="976" spans="3:5" x14ac:dyDescent="0.25">
      <c r="C976" s="34"/>
      <c r="D976" s="34"/>
      <c r="E976" s="35"/>
    </row>
    <row r="977" spans="3:5" x14ac:dyDescent="0.25">
      <c r="C977" s="34"/>
      <c r="D977" s="34"/>
      <c r="E977" s="35"/>
    </row>
    <row r="978" spans="3:5" x14ac:dyDescent="0.25">
      <c r="C978" s="34"/>
      <c r="D978" s="34"/>
      <c r="E978" s="35"/>
    </row>
    <row r="979" spans="3:5" x14ac:dyDescent="0.25">
      <c r="C979" s="34"/>
      <c r="D979" s="34"/>
      <c r="E979" s="35"/>
    </row>
    <row r="980" spans="3:5" x14ac:dyDescent="0.25">
      <c r="C980" s="34"/>
      <c r="D980" s="34"/>
      <c r="E980" s="35"/>
    </row>
    <row r="981" spans="3:5" x14ac:dyDescent="0.25">
      <c r="C981" s="34"/>
      <c r="D981" s="34"/>
      <c r="E981" s="35"/>
    </row>
    <row r="982" spans="3:5" x14ac:dyDescent="0.25">
      <c r="C982" s="34"/>
      <c r="D982" s="34"/>
      <c r="E982" s="35"/>
    </row>
    <row r="983" spans="3:5" x14ac:dyDescent="0.25">
      <c r="C983" s="34"/>
      <c r="D983" s="34"/>
      <c r="E983" s="35"/>
    </row>
    <row r="984" spans="3:5" x14ac:dyDescent="0.25">
      <c r="C984" s="34"/>
      <c r="D984" s="34"/>
      <c r="E984" s="35"/>
    </row>
    <row r="985" spans="3:5" x14ac:dyDescent="0.25">
      <c r="C985" s="34"/>
      <c r="D985" s="34"/>
      <c r="E985" s="35"/>
    </row>
    <row r="986" spans="3:5" x14ac:dyDescent="0.25">
      <c r="C986" s="34"/>
      <c r="D986" s="34"/>
      <c r="E986" s="35"/>
    </row>
    <row r="987" spans="3:5" x14ac:dyDescent="0.25">
      <c r="C987" s="34"/>
      <c r="D987" s="34"/>
      <c r="E987" s="35"/>
    </row>
    <row r="988" spans="3:5" x14ac:dyDescent="0.25">
      <c r="C988" s="34"/>
      <c r="D988" s="34"/>
      <c r="E988" s="35"/>
    </row>
    <row r="989" spans="3:5" x14ac:dyDescent="0.25">
      <c r="C989" s="34"/>
      <c r="D989" s="34"/>
      <c r="E989" s="35"/>
    </row>
    <row r="990" spans="3:5" x14ac:dyDescent="0.25">
      <c r="C990" s="34"/>
      <c r="D990" s="34"/>
      <c r="E990" s="35"/>
    </row>
    <row r="991" spans="3:5" x14ac:dyDescent="0.25">
      <c r="C991" s="34"/>
      <c r="D991" s="34"/>
      <c r="E991" s="35"/>
    </row>
    <row r="992" spans="3:5" x14ac:dyDescent="0.25">
      <c r="C992" s="34"/>
      <c r="D992" s="34"/>
      <c r="E992" s="35"/>
    </row>
    <row r="993" spans="2:5" x14ac:dyDescent="0.25">
      <c r="C993" s="34"/>
      <c r="D993" s="34"/>
      <c r="E993" s="35"/>
    </row>
    <row r="994" spans="2:5" x14ac:dyDescent="0.25">
      <c r="C994" s="34"/>
      <c r="D994" s="34"/>
      <c r="E994" s="35"/>
    </row>
    <row r="995" spans="2:5" x14ac:dyDescent="0.25">
      <c r="B995" s="34"/>
      <c r="C995" s="34"/>
      <c r="D995" s="34"/>
      <c r="E995" s="34"/>
    </row>
    <row r="996" spans="2:5" x14ac:dyDescent="0.25">
      <c r="B996" s="34"/>
      <c r="C996" s="34"/>
      <c r="D996" s="34"/>
      <c r="E996" s="34"/>
    </row>
    <row r="997" spans="2:5" x14ac:dyDescent="0.25">
      <c r="C997" s="34"/>
      <c r="D997" s="34"/>
      <c r="E997" s="35"/>
    </row>
    <row r="998" spans="2:5" x14ac:dyDescent="0.25">
      <c r="B998" s="34"/>
      <c r="C998" s="34"/>
      <c r="D998" s="34"/>
      <c r="E998" s="34"/>
    </row>
    <row r="999" spans="2:5" x14ac:dyDescent="0.25">
      <c r="C999" s="34"/>
      <c r="D999" s="34"/>
      <c r="E999" s="35"/>
    </row>
    <row r="1000" spans="2:5" x14ac:dyDescent="0.25">
      <c r="C1000" s="34"/>
      <c r="D1000" s="34"/>
      <c r="E1000" s="35"/>
    </row>
    <row r="1001" spans="2:5" x14ac:dyDescent="0.25">
      <c r="B1001" s="34"/>
      <c r="C1001" s="34"/>
      <c r="D1001" s="34"/>
      <c r="E1001" s="34"/>
    </row>
    <row r="1002" spans="2:5" x14ac:dyDescent="0.25">
      <c r="C1002" s="34"/>
      <c r="D1002" s="34"/>
      <c r="E1002" s="35"/>
    </row>
    <row r="1003" spans="2:5" x14ac:dyDescent="0.25">
      <c r="B1003" s="34"/>
      <c r="C1003" s="34"/>
      <c r="D1003" s="34"/>
      <c r="E1003" s="34"/>
    </row>
    <row r="1004" spans="2:5" x14ac:dyDescent="0.25">
      <c r="C1004" s="34"/>
      <c r="D1004" s="34"/>
      <c r="E1004" s="35"/>
    </row>
    <row r="1005" spans="2:5" x14ac:dyDescent="0.25">
      <c r="C1005" s="34"/>
      <c r="D1005" s="34"/>
      <c r="E1005" s="35"/>
    </row>
    <row r="1006" spans="2:5" x14ac:dyDescent="0.25">
      <c r="C1006" s="34"/>
      <c r="D1006" s="34"/>
      <c r="E1006" s="35"/>
    </row>
    <row r="1007" spans="2:5" x14ac:dyDescent="0.25">
      <c r="C1007" s="34"/>
      <c r="D1007" s="34"/>
      <c r="E1007" s="35"/>
    </row>
    <row r="1008" spans="2:5" x14ac:dyDescent="0.25">
      <c r="C1008" s="34"/>
      <c r="D1008" s="34"/>
      <c r="E1008" s="35"/>
    </row>
    <row r="1009" spans="3:5" x14ac:dyDescent="0.25">
      <c r="C1009" s="34"/>
      <c r="D1009" s="34"/>
      <c r="E1009" s="35"/>
    </row>
    <row r="1010" spans="3:5" x14ac:dyDescent="0.25">
      <c r="C1010" s="34"/>
      <c r="D1010" s="34"/>
      <c r="E1010" s="35"/>
    </row>
    <row r="1011" spans="3:5" x14ac:dyDescent="0.25">
      <c r="C1011" s="34"/>
      <c r="D1011" s="34"/>
      <c r="E1011" s="35"/>
    </row>
    <row r="1012" spans="3:5" x14ac:dyDescent="0.25">
      <c r="C1012" s="34"/>
      <c r="D1012" s="34"/>
      <c r="E1012" s="35"/>
    </row>
    <row r="1013" spans="3:5" x14ac:dyDescent="0.25">
      <c r="C1013" s="34"/>
      <c r="D1013" s="34"/>
      <c r="E1013" s="35"/>
    </row>
    <row r="1014" spans="3:5" x14ac:dyDescent="0.25">
      <c r="C1014" s="34"/>
      <c r="D1014" s="34"/>
      <c r="E1014" s="35"/>
    </row>
    <row r="1015" spans="3:5" x14ac:dyDescent="0.25">
      <c r="C1015" s="34"/>
      <c r="D1015" s="34"/>
      <c r="E1015" s="35"/>
    </row>
    <row r="1016" spans="3:5" x14ac:dyDescent="0.25">
      <c r="C1016" s="34"/>
      <c r="D1016" s="34"/>
      <c r="E1016" s="35"/>
    </row>
    <row r="1017" spans="3:5" x14ac:dyDescent="0.25">
      <c r="C1017" s="34"/>
      <c r="D1017" s="34"/>
      <c r="E1017" s="35"/>
    </row>
    <row r="1018" spans="3:5" x14ac:dyDescent="0.25">
      <c r="C1018" s="34"/>
      <c r="D1018" s="34"/>
      <c r="E1018" s="35"/>
    </row>
    <row r="1019" spans="3:5" x14ac:dyDescent="0.25">
      <c r="C1019" s="34"/>
      <c r="D1019" s="34"/>
      <c r="E1019" s="35"/>
    </row>
    <row r="1020" spans="3:5" x14ac:dyDescent="0.25">
      <c r="C1020" s="34"/>
      <c r="D1020" s="34"/>
      <c r="E1020" s="35"/>
    </row>
    <row r="1021" spans="3:5" x14ac:dyDescent="0.25">
      <c r="C1021" s="34"/>
      <c r="D1021" s="34"/>
      <c r="E1021" s="35"/>
    </row>
    <row r="1022" spans="3:5" x14ac:dyDescent="0.25">
      <c r="C1022" s="34"/>
      <c r="D1022" s="34"/>
      <c r="E1022" s="35"/>
    </row>
    <row r="1023" spans="3:5" x14ac:dyDescent="0.25">
      <c r="C1023" s="34"/>
      <c r="D1023" s="34"/>
      <c r="E1023" s="35"/>
    </row>
    <row r="1024" spans="3:5" x14ac:dyDescent="0.25">
      <c r="C1024" s="34"/>
      <c r="D1024" s="34"/>
      <c r="E1024" s="35"/>
    </row>
    <row r="1025" spans="2:5" x14ac:dyDescent="0.25">
      <c r="B1025" s="34"/>
      <c r="C1025" s="34"/>
      <c r="D1025" s="34"/>
      <c r="E1025" s="34"/>
    </row>
    <row r="1026" spans="2:5" x14ac:dyDescent="0.25">
      <c r="B1026" s="34"/>
      <c r="C1026" s="34"/>
      <c r="D1026" s="34"/>
      <c r="E1026" s="34"/>
    </row>
    <row r="1027" spans="2:5" x14ac:dyDescent="0.25">
      <c r="C1027" s="34"/>
      <c r="D1027" s="34"/>
      <c r="E1027" s="35"/>
    </row>
    <row r="1028" spans="2:5" x14ac:dyDescent="0.25">
      <c r="C1028" s="34"/>
      <c r="D1028" s="34"/>
      <c r="E1028" s="35"/>
    </row>
    <row r="1029" spans="2:5" x14ac:dyDescent="0.25">
      <c r="C1029" s="34"/>
      <c r="D1029" s="34"/>
      <c r="E1029" s="35"/>
    </row>
    <row r="1030" spans="2:5" x14ac:dyDescent="0.25">
      <c r="C1030" s="34"/>
      <c r="D1030" s="34"/>
      <c r="E1030" s="35"/>
    </row>
    <row r="1031" spans="2:5" x14ac:dyDescent="0.25">
      <c r="C1031" s="34"/>
      <c r="D1031" s="34"/>
      <c r="E1031" s="35"/>
    </row>
    <row r="1032" spans="2:5" x14ac:dyDescent="0.25">
      <c r="C1032" s="34"/>
      <c r="D1032" s="34"/>
      <c r="E1032" s="35"/>
    </row>
    <row r="1033" spans="2:5" x14ac:dyDescent="0.25">
      <c r="C1033" s="34"/>
      <c r="D1033" s="34"/>
      <c r="E1033" s="35"/>
    </row>
    <row r="1034" spans="2:5" x14ac:dyDescent="0.25">
      <c r="C1034" s="34"/>
      <c r="D1034" s="34"/>
      <c r="E1034" s="35"/>
    </row>
    <row r="1035" spans="2:5" x14ac:dyDescent="0.25">
      <c r="C1035" s="34"/>
      <c r="D1035" s="34"/>
      <c r="E1035" s="35"/>
    </row>
    <row r="1036" spans="2:5" x14ac:dyDescent="0.25">
      <c r="C1036" s="34"/>
      <c r="D1036" s="34"/>
      <c r="E1036" s="35"/>
    </row>
    <row r="1037" spans="2:5" x14ac:dyDescent="0.25">
      <c r="C1037" s="34"/>
      <c r="D1037" s="34"/>
      <c r="E1037" s="35"/>
    </row>
    <row r="1038" spans="2:5" x14ac:dyDescent="0.25">
      <c r="C1038" s="34"/>
      <c r="D1038" s="34"/>
      <c r="E1038" s="35"/>
    </row>
    <row r="1039" spans="2:5" x14ac:dyDescent="0.25">
      <c r="C1039" s="34"/>
      <c r="D1039" s="34"/>
      <c r="E1039" s="35"/>
    </row>
    <row r="1040" spans="2:5" x14ac:dyDescent="0.25">
      <c r="C1040" s="34"/>
      <c r="D1040" s="34"/>
      <c r="E1040" s="35"/>
    </row>
    <row r="1041" spans="3:5" x14ac:dyDescent="0.25">
      <c r="C1041" s="34"/>
      <c r="D1041" s="34"/>
      <c r="E1041" s="35"/>
    </row>
    <row r="1042" spans="3:5" x14ac:dyDescent="0.25">
      <c r="C1042" s="34"/>
      <c r="D1042" s="34"/>
      <c r="E1042" s="35"/>
    </row>
    <row r="1043" spans="3:5" x14ac:dyDescent="0.25">
      <c r="C1043" s="34"/>
      <c r="D1043" s="34"/>
      <c r="E1043" s="35"/>
    </row>
    <row r="1044" spans="3:5" x14ac:dyDescent="0.25">
      <c r="C1044" s="34"/>
      <c r="D1044" s="34"/>
      <c r="E1044" s="35"/>
    </row>
    <row r="1045" spans="3:5" x14ac:dyDescent="0.25">
      <c r="C1045" s="34"/>
      <c r="D1045" s="34"/>
      <c r="E1045" s="35"/>
    </row>
    <row r="1046" spans="3:5" x14ac:dyDescent="0.25">
      <c r="C1046" s="34"/>
      <c r="D1046" s="34"/>
      <c r="E1046" s="35"/>
    </row>
    <row r="1047" spans="3:5" x14ac:dyDescent="0.25">
      <c r="C1047" s="34"/>
      <c r="D1047" s="34"/>
      <c r="E1047" s="35"/>
    </row>
    <row r="1048" spans="3:5" x14ac:dyDescent="0.25">
      <c r="C1048" s="34"/>
      <c r="D1048" s="34"/>
      <c r="E1048" s="35"/>
    </row>
    <row r="1049" spans="3:5" x14ac:dyDescent="0.25">
      <c r="C1049" s="34"/>
      <c r="D1049" s="34"/>
      <c r="E1049" s="35"/>
    </row>
    <row r="1050" spans="3:5" x14ac:dyDescent="0.25">
      <c r="C1050" s="34"/>
      <c r="D1050" s="34"/>
      <c r="E1050" s="35"/>
    </row>
    <row r="1051" spans="3:5" x14ac:dyDescent="0.25">
      <c r="C1051" s="34"/>
      <c r="D1051" s="34"/>
      <c r="E1051" s="35"/>
    </row>
    <row r="1052" spans="3:5" x14ac:dyDescent="0.25">
      <c r="C1052" s="34"/>
      <c r="D1052" s="34"/>
      <c r="E1052" s="35"/>
    </row>
    <row r="1053" spans="3:5" x14ac:dyDescent="0.25">
      <c r="C1053" s="34"/>
      <c r="D1053" s="34"/>
      <c r="E1053" s="35"/>
    </row>
    <row r="1054" spans="3:5" x14ac:dyDescent="0.25">
      <c r="C1054" s="34"/>
      <c r="D1054" s="34"/>
      <c r="E1054" s="35"/>
    </row>
    <row r="1055" spans="3:5" x14ac:dyDescent="0.25">
      <c r="C1055" s="34"/>
      <c r="D1055" s="34"/>
      <c r="E1055" s="35"/>
    </row>
    <row r="1056" spans="3:5" x14ac:dyDescent="0.25">
      <c r="C1056" s="34"/>
      <c r="D1056" s="34"/>
      <c r="E1056" s="35"/>
    </row>
    <row r="1057" spans="2:5" x14ac:dyDescent="0.25">
      <c r="C1057" s="34"/>
      <c r="D1057" s="34"/>
      <c r="E1057" s="35"/>
    </row>
    <row r="1058" spans="2:5" x14ac:dyDescent="0.25">
      <c r="C1058" s="34"/>
      <c r="D1058" s="34"/>
      <c r="E1058" s="35"/>
    </row>
    <row r="1059" spans="2:5" x14ac:dyDescent="0.25">
      <c r="C1059" s="34"/>
      <c r="D1059" s="34"/>
      <c r="E1059" s="35"/>
    </row>
    <row r="1060" spans="2:5" x14ac:dyDescent="0.25">
      <c r="C1060" s="34"/>
      <c r="D1060" s="34"/>
      <c r="E1060" s="35"/>
    </row>
    <row r="1061" spans="2:5" x14ac:dyDescent="0.25">
      <c r="C1061" s="34"/>
      <c r="D1061" s="34"/>
      <c r="E1061" s="35"/>
    </row>
    <row r="1062" spans="2:5" x14ac:dyDescent="0.25">
      <c r="C1062" s="34"/>
      <c r="D1062" s="34"/>
      <c r="E1062" s="35"/>
    </row>
    <row r="1063" spans="2:5" x14ac:dyDescent="0.25">
      <c r="C1063" s="34"/>
      <c r="D1063" s="34"/>
      <c r="E1063" s="35"/>
    </row>
    <row r="1064" spans="2:5" x14ac:dyDescent="0.25">
      <c r="C1064" s="34"/>
      <c r="D1064" s="34"/>
      <c r="E1064" s="35"/>
    </row>
    <row r="1065" spans="2:5" x14ac:dyDescent="0.25">
      <c r="C1065" s="34"/>
      <c r="D1065" s="34"/>
      <c r="E1065" s="35"/>
    </row>
    <row r="1066" spans="2:5" x14ac:dyDescent="0.25">
      <c r="C1066" s="34"/>
      <c r="D1066" s="34"/>
      <c r="E1066" s="35"/>
    </row>
    <row r="1067" spans="2:5" x14ac:dyDescent="0.25">
      <c r="C1067" s="34"/>
      <c r="D1067" s="34"/>
      <c r="E1067" s="35"/>
    </row>
    <row r="1068" spans="2:5" x14ac:dyDescent="0.25">
      <c r="C1068" s="34"/>
      <c r="D1068" s="34"/>
      <c r="E1068" s="35"/>
    </row>
    <row r="1069" spans="2:5" x14ac:dyDescent="0.25">
      <c r="C1069" s="34"/>
      <c r="D1069" s="34"/>
      <c r="E1069" s="35"/>
    </row>
    <row r="1070" spans="2:5" x14ac:dyDescent="0.25">
      <c r="C1070" s="34"/>
      <c r="D1070" s="34"/>
      <c r="E1070" s="35"/>
    </row>
    <row r="1071" spans="2:5" x14ac:dyDescent="0.25">
      <c r="C1071" s="34"/>
      <c r="D1071" s="34"/>
      <c r="E1071" s="35"/>
    </row>
    <row r="1072" spans="2:5" x14ac:dyDescent="0.25">
      <c r="B1072" s="34"/>
      <c r="C1072" s="34"/>
      <c r="D1072" s="34"/>
      <c r="E1072" s="34"/>
    </row>
    <row r="1073" spans="2:5" x14ac:dyDescent="0.25">
      <c r="C1073" s="34"/>
      <c r="D1073" s="34"/>
      <c r="E1073" s="35"/>
    </row>
    <row r="1074" spans="2:5" x14ac:dyDescent="0.25">
      <c r="C1074" s="34"/>
      <c r="D1074" s="34"/>
      <c r="E1074" s="35"/>
    </row>
    <row r="1075" spans="2:5" x14ac:dyDescent="0.25">
      <c r="C1075" s="34"/>
      <c r="D1075" s="34"/>
      <c r="E1075" s="35"/>
    </row>
    <row r="1076" spans="2:5" x14ac:dyDescent="0.25">
      <c r="C1076" s="34"/>
      <c r="D1076" s="34"/>
      <c r="E1076" s="35"/>
    </row>
    <row r="1077" spans="2:5" x14ac:dyDescent="0.25">
      <c r="C1077" s="34"/>
      <c r="D1077" s="34"/>
      <c r="E1077" s="35"/>
    </row>
    <row r="1078" spans="2:5" x14ac:dyDescent="0.25">
      <c r="C1078" s="34"/>
      <c r="D1078" s="34"/>
      <c r="E1078" s="35"/>
    </row>
    <row r="1079" spans="2:5" x14ac:dyDescent="0.25">
      <c r="C1079" s="34"/>
      <c r="D1079" s="34"/>
      <c r="E1079" s="35"/>
    </row>
    <row r="1080" spans="2:5" x14ac:dyDescent="0.25">
      <c r="C1080" s="34"/>
      <c r="D1080" s="34"/>
      <c r="E1080" s="35"/>
    </row>
    <row r="1081" spans="2:5" x14ac:dyDescent="0.25">
      <c r="C1081" s="34"/>
      <c r="D1081" s="34"/>
      <c r="E1081" s="35"/>
    </row>
    <row r="1082" spans="2:5" x14ac:dyDescent="0.25">
      <c r="C1082" s="34"/>
      <c r="D1082" s="34"/>
      <c r="E1082" s="35"/>
    </row>
    <row r="1083" spans="2:5" x14ac:dyDescent="0.25">
      <c r="C1083" s="34"/>
      <c r="D1083" s="34"/>
      <c r="E1083" s="35"/>
    </row>
    <row r="1084" spans="2:5" x14ac:dyDescent="0.25">
      <c r="C1084" s="34"/>
      <c r="D1084" s="34"/>
      <c r="E1084" s="35"/>
    </row>
    <row r="1085" spans="2:5" x14ac:dyDescent="0.25">
      <c r="B1085" s="34"/>
      <c r="C1085" s="34"/>
      <c r="D1085" s="34"/>
      <c r="E1085" s="34"/>
    </row>
    <row r="1086" spans="2:5" x14ac:dyDescent="0.25">
      <c r="C1086" s="34"/>
      <c r="D1086" s="34"/>
      <c r="E1086" s="35"/>
    </row>
    <row r="1087" spans="2:5" x14ac:dyDescent="0.25">
      <c r="C1087" s="34"/>
      <c r="D1087" s="34"/>
      <c r="E1087" s="35"/>
    </row>
    <row r="1088" spans="2:5" x14ac:dyDescent="0.25">
      <c r="C1088" s="34"/>
      <c r="D1088" s="34"/>
      <c r="E1088" s="35"/>
    </row>
    <row r="1089" spans="2:5" x14ac:dyDescent="0.25">
      <c r="C1089" s="34"/>
      <c r="D1089" s="34"/>
      <c r="E1089" s="35"/>
    </row>
    <row r="1090" spans="2:5" x14ac:dyDescent="0.25">
      <c r="C1090" s="34"/>
      <c r="D1090" s="34"/>
      <c r="E1090" s="35"/>
    </row>
    <row r="1091" spans="2:5" x14ac:dyDescent="0.25">
      <c r="C1091" s="34"/>
      <c r="D1091" s="34"/>
      <c r="E1091" s="35"/>
    </row>
    <row r="1092" spans="2:5" x14ac:dyDescent="0.25">
      <c r="C1092" s="34"/>
      <c r="D1092" s="34"/>
      <c r="E1092" s="35"/>
    </row>
    <row r="1093" spans="2:5" x14ac:dyDescent="0.25">
      <c r="C1093" s="34"/>
      <c r="D1093" s="34"/>
      <c r="E1093" s="35"/>
    </row>
    <row r="1094" spans="2:5" x14ac:dyDescent="0.25">
      <c r="C1094" s="34"/>
      <c r="D1094" s="34"/>
      <c r="E1094" s="35"/>
    </row>
    <row r="1095" spans="2:5" x14ac:dyDescent="0.25">
      <c r="C1095" s="34"/>
      <c r="D1095" s="34"/>
      <c r="E1095" s="35"/>
    </row>
    <row r="1096" spans="2:5" x14ac:dyDescent="0.25">
      <c r="C1096" s="34"/>
      <c r="D1096" s="34"/>
      <c r="E1096" s="35"/>
    </row>
    <row r="1097" spans="2:5" x14ac:dyDescent="0.25">
      <c r="C1097" s="34"/>
      <c r="D1097" s="34"/>
      <c r="E1097" s="35"/>
    </row>
    <row r="1098" spans="2:5" x14ac:dyDescent="0.25">
      <c r="C1098" s="34"/>
      <c r="D1098" s="34"/>
      <c r="E1098" s="35"/>
    </row>
    <row r="1099" spans="2:5" x14ac:dyDescent="0.25">
      <c r="C1099" s="34"/>
      <c r="D1099" s="34"/>
      <c r="E1099" s="35"/>
    </row>
    <row r="1100" spans="2:5" x14ac:dyDescent="0.25">
      <c r="B1100" s="34"/>
      <c r="C1100" s="34"/>
      <c r="D1100" s="34"/>
      <c r="E1100" s="34"/>
    </row>
    <row r="1101" spans="2:5" x14ac:dyDescent="0.25">
      <c r="C1101" s="34"/>
      <c r="D1101" s="34"/>
      <c r="E1101" s="35"/>
    </row>
    <row r="1102" spans="2:5" x14ac:dyDescent="0.25">
      <c r="C1102" s="34"/>
      <c r="D1102" s="34"/>
      <c r="E1102" s="35"/>
    </row>
    <row r="1103" spans="2:5" x14ac:dyDescent="0.25">
      <c r="C1103" s="34"/>
      <c r="D1103" s="34"/>
      <c r="E1103" s="35"/>
    </row>
    <row r="1104" spans="2:5" x14ac:dyDescent="0.25">
      <c r="C1104" s="34"/>
      <c r="D1104" s="34"/>
      <c r="E1104" s="35"/>
    </row>
    <row r="1105" spans="3:5" x14ac:dyDescent="0.25">
      <c r="C1105" s="34"/>
      <c r="D1105" s="34"/>
      <c r="E1105" s="35"/>
    </row>
    <row r="1106" spans="3:5" x14ac:dyDescent="0.25">
      <c r="C1106" s="34"/>
      <c r="D1106" s="34"/>
      <c r="E1106" s="35"/>
    </row>
    <row r="1107" spans="3:5" x14ac:dyDescent="0.25">
      <c r="C1107" s="34"/>
      <c r="D1107" s="34"/>
      <c r="E1107" s="35"/>
    </row>
    <row r="1108" spans="3:5" x14ac:dyDescent="0.25">
      <c r="C1108" s="34"/>
      <c r="D1108" s="34"/>
      <c r="E1108" s="35"/>
    </row>
    <row r="1109" spans="3:5" x14ac:dyDescent="0.25">
      <c r="C1109" s="34"/>
      <c r="D1109" s="34"/>
      <c r="E1109" s="35"/>
    </row>
    <row r="1110" spans="3:5" x14ac:dyDescent="0.25">
      <c r="C1110" s="34"/>
      <c r="D1110" s="34"/>
      <c r="E1110" s="35"/>
    </row>
    <row r="1111" spans="3:5" x14ac:dyDescent="0.25">
      <c r="C1111" s="34"/>
      <c r="D1111" s="34"/>
      <c r="E1111" s="35"/>
    </row>
    <row r="1112" spans="3:5" x14ac:dyDescent="0.25">
      <c r="C1112" s="34"/>
      <c r="D1112" s="34"/>
      <c r="E1112" s="35"/>
    </row>
    <row r="1113" spans="3:5" x14ac:dyDescent="0.25">
      <c r="C1113" s="34"/>
      <c r="D1113" s="34"/>
      <c r="E1113" s="35"/>
    </row>
    <row r="1114" spans="3:5" x14ac:dyDescent="0.25">
      <c r="C1114" s="34"/>
      <c r="D1114" s="34"/>
      <c r="E1114" s="35"/>
    </row>
    <row r="1115" spans="3:5" x14ac:dyDescent="0.25">
      <c r="C1115" s="34"/>
      <c r="D1115" s="34"/>
      <c r="E1115" s="35"/>
    </row>
    <row r="1116" spans="3:5" x14ac:dyDescent="0.25">
      <c r="C1116" s="34"/>
      <c r="D1116" s="34"/>
      <c r="E1116" s="35"/>
    </row>
    <row r="1117" spans="3:5" x14ac:dyDescent="0.25">
      <c r="C1117" s="34"/>
      <c r="D1117" s="34"/>
      <c r="E1117" s="35"/>
    </row>
    <row r="1118" spans="3:5" x14ac:dyDescent="0.25">
      <c r="C1118" s="34"/>
      <c r="D1118" s="34"/>
      <c r="E1118" s="35"/>
    </row>
    <row r="1119" spans="3:5" x14ac:dyDescent="0.25">
      <c r="C1119" s="34"/>
      <c r="D1119" s="34"/>
      <c r="E1119" s="35"/>
    </row>
    <row r="1120" spans="3:5" x14ac:dyDescent="0.25">
      <c r="C1120" s="34"/>
      <c r="D1120" s="34"/>
      <c r="E1120" s="35"/>
    </row>
    <row r="1121" spans="2:5" x14ac:dyDescent="0.25">
      <c r="C1121" s="34"/>
      <c r="D1121" s="34"/>
      <c r="E1121" s="35"/>
    </row>
    <row r="1122" spans="2:5" x14ac:dyDescent="0.25">
      <c r="C1122" s="34"/>
      <c r="D1122" s="34"/>
      <c r="E1122" s="35"/>
    </row>
    <row r="1123" spans="2:5" x14ac:dyDescent="0.25">
      <c r="C1123" s="34"/>
      <c r="D1123" s="34"/>
      <c r="E1123" s="35"/>
    </row>
    <row r="1124" spans="2:5" x14ac:dyDescent="0.25">
      <c r="C1124" s="34"/>
      <c r="D1124" s="34"/>
      <c r="E1124" s="35"/>
    </row>
    <row r="1125" spans="2:5" x14ac:dyDescent="0.25">
      <c r="C1125" s="34"/>
      <c r="D1125" s="34"/>
      <c r="E1125" s="35"/>
    </row>
    <row r="1126" spans="2:5" x14ac:dyDescent="0.25">
      <c r="C1126" s="34"/>
      <c r="D1126" s="34"/>
      <c r="E1126" s="35"/>
    </row>
    <row r="1127" spans="2:5" x14ac:dyDescent="0.25">
      <c r="C1127" s="34"/>
      <c r="D1127" s="34"/>
      <c r="E1127" s="35"/>
    </row>
    <row r="1128" spans="2:5" x14ac:dyDescent="0.25">
      <c r="C1128" s="34"/>
      <c r="D1128" s="34"/>
      <c r="E1128" s="35"/>
    </row>
    <row r="1129" spans="2:5" x14ac:dyDescent="0.25">
      <c r="C1129" s="34"/>
      <c r="D1129" s="34"/>
      <c r="E1129" s="35"/>
    </row>
    <row r="1130" spans="2:5" x14ac:dyDescent="0.25">
      <c r="C1130" s="34"/>
      <c r="D1130" s="34"/>
      <c r="E1130" s="35"/>
    </row>
    <row r="1131" spans="2:5" x14ac:dyDescent="0.25">
      <c r="B1131" s="34"/>
      <c r="C1131" s="34"/>
      <c r="D1131" s="34"/>
      <c r="E1131" s="34"/>
    </row>
    <row r="1132" spans="2:5" x14ac:dyDescent="0.25">
      <c r="C1132" s="34"/>
      <c r="D1132" s="34"/>
      <c r="E1132" s="35"/>
    </row>
    <row r="1133" spans="2:5" x14ac:dyDescent="0.25">
      <c r="C1133" s="34"/>
      <c r="D1133" s="34"/>
      <c r="E1133" s="35"/>
    </row>
    <row r="1134" spans="2:5" x14ac:dyDescent="0.25">
      <c r="C1134" s="34"/>
      <c r="D1134" s="34"/>
      <c r="E1134" s="35"/>
    </row>
    <row r="1135" spans="2:5" x14ac:dyDescent="0.25">
      <c r="C1135" s="34"/>
      <c r="D1135" s="34"/>
      <c r="E1135" s="35"/>
    </row>
    <row r="1136" spans="2:5" x14ac:dyDescent="0.25">
      <c r="C1136" s="34"/>
      <c r="D1136" s="34"/>
      <c r="E1136" s="35"/>
    </row>
    <row r="1137" spans="2:5" x14ac:dyDescent="0.25">
      <c r="B1137" s="34"/>
      <c r="C1137" s="34"/>
      <c r="D1137" s="34"/>
      <c r="E1137" s="34"/>
    </row>
    <row r="1138" spans="2:5" x14ac:dyDescent="0.25">
      <c r="C1138" s="34"/>
      <c r="D1138" s="34"/>
      <c r="E1138" s="35"/>
    </row>
    <row r="1139" spans="2:5" x14ac:dyDescent="0.25">
      <c r="C1139" s="34"/>
      <c r="D1139" s="34"/>
      <c r="E1139" s="35"/>
    </row>
    <row r="1140" spans="2:5" x14ac:dyDescent="0.25">
      <c r="C1140" s="34"/>
      <c r="D1140" s="34"/>
      <c r="E1140" s="35"/>
    </row>
    <row r="1141" spans="2:5" x14ac:dyDescent="0.25">
      <c r="C1141" s="34"/>
      <c r="D1141" s="34"/>
      <c r="E1141" s="35"/>
    </row>
    <row r="1142" spans="2:5" x14ac:dyDescent="0.25">
      <c r="C1142" s="34"/>
      <c r="D1142" s="34"/>
      <c r="E1142" s="35"/>
    </row>
    <row r="1143" spans="2:5" x14ac:dyDescent="0.25">
      <c r="C1143" s="34"/>
      <c r="D1143" s="34"/>
      <c r="E1143" s="35"/>
    </row>
    <row r="1144" spans="2:5" x14ac:dyDescent="0.25">
      <c r="C1144" s="34"/>
      <c r="D1144" s="34"/>
      <c r="E1144" s="35"/>
    </row>
    <row r="1145" spans="2:5" x14ac:dyDescent="0.25">
      <c r="C1145" s="34"/>
      <c r="D1145" s="34"/>
      <c r="E1145" s="35"/>
    </row>
    <row r="1146" spans="2:5" x14ac:dyDescent="0.25">
      <c r="B1146" s="34"/>
      <c r="C1146" s="34"/>
      <c r="D1146" s="34"/>
      <c r="E1146" s="34"/>
    </row>
    <row r="1147" spans="2:5" x14ac:dyDescent="0.25">
      <c r="C1147" s="34"/>
      <c r="D1147" s="34"/>
      <c r="E1147" s="35"/>
    </row>
    <row r="1148" spans="2:5" x14ac:dyDescent="0.25">
      <c r="B1148" s="34"/>
      <c r="C1148" s="34"/>
      <c r="D1148" s="34"/>
      <c r="E1148" s="34"/>
    </row>
    <row r="1149" spans="2:5" x14ac:dyDescent="0.25">
      <c r="C1149" s="34"/>
      <c r="D1149" s="34"/>
      <c r="E1149" s="35"/>
    </row>
    <row r="1150" spans="2:5" x14ac:dyDescent="0.25">
      <c r="C1150" s="34"/>
      <c r="D1150" s="34"/>
      <c r="E1150" s="35"/>
    </row>
    <row r="1151" spans="2:5" x14ac:dyDescent="0.25">
      <c r="C1151" s="34"/>
      <c r="D1151" s="34"/>
      <c r="E1151" s="35"/>
    </row>
    <row r="1152" spans="2:5" x14ac:dyDescent="0.25">
      <c r="C1152" s="34"/>
      <c r="D1152" s="34"/>
      <c r="E1152" s="35"/>
    </row>
    <row r="1153" spans="2:5" x14ac:dyDescent="0.25">
      <c r="C1153" s="34"/>
      <c r="D1153" s="34"/>
      <c r="E1153" s="35"/>
    </row>
    <row r="1154" spans="2:5" x14ac:dyDescent="0.25">
      <c r="C1154" s="34"/>
      <c r="D1154" s="34"/>
      <c r="E1154" s="35"/>
    </row>
    <row r="1155" spans="2:5" x14ac:dyDescent="0.25">
      <c r="C1155" s="34"/>
      <c r="D1155" s="34"/>
      <c r="E1155" s="35"/>
    </row>
    <row r="1156" spans="2:5" x14ac:dyDescent="0.25">
      <c r="C1156" s="34"/>
      <c r="D1156" s="34"/>
      <c r="E1156" s="35"/>
    </row>
    <row r="1157" spans="2:5" x14ac:dyDescent="0.25">
      <c r="C1157" s="34"/>
      <c r="D1157" s="34"/>
      <c r="E1157" s="35"/>
    </row>
    <row r="1158" spans="2:5" x14ac:dyDescent="0.25">
      <c r="B1158" s="34"/>
      <c r="C1158" s="34"/>
      <c r="D1158" s="34"/>
      <c r="E1158" s="34"/>
    </row>
    <row r="1159" spans="2:5" x14ac:dyDescent="0.25">
      <c r="C1159" s="34"/>
      <c r="D1159" s="34"/>
      <c r="E1159" s="35"/>
    </row>
    <row r="1160" spans="2:5" x14ac:dyDescent="0.25">
      <c r="C1160" s="34"/>
      <c r="D1160" s="34"/>
      <c r="E1160" s="35"/>
    </row>
    <row r="1161" spans="2:5" x14ac:dyDescent="0.25">
      <c r="C1161" s="34"/>
      <c r="D1161" s="34"/>
      <c r="E1161" s="35"/>
    </row>
    <row r="1162" spans="2:5" x14ac:dyDescent="0.25">
      <c r="C1162" s="34"/>
      <c r="D1162" s="34"/>
      <c r="E1162" s="35"/>
    </row>
    <row r="1163" spans="2:5" x14ac:dyDescent="0.25">
      <c r="C1163" s="34"/>
      <c r="D1163" s="34"/>
      <c r="E1163" s="35"/>
    </row>
    <row r="1164" spans="2:5" x14ac:dyDescent="0.25">
      <c r="C1164" s="34"/>
      <c r="D1164" s="34"/>
      <c r="E1164" s="35"/>
    </row>
    <row r="1165" spans="2:5" x14ac:dyDescent="0.25">
      <c r="C1165" s="34"/>
      <c r="D1165" s="34"/>
      <c r="E1165" s="35"/>
    </row>
    <row r="1166" spans="2:5" x14ac:dyDescent="0.25">
      <c r="C1166" s="34"/>
      <c r="D1166" s="34"/>
      <c r="E1166" s="35"/>
    </row>
    <row r="1167" spans="2:5" x14ac:dyDescent="0.25">
      <c r="C1167" s="34"/>
      <c r="D1167" s="34"/>
      <c r="E1167" s="35"/>
    </row>
    <row r="1168" spans="2:5" x14ac:dyDescent="0.25">
      <c r="C1168" s="34"/>
      <c r="D1168" s="34"/>
      <c r="E1168" s="35"/>
    </row>
    <row r="1169" spans="2:5" x14ac:dyDescent="0.25">
      <c r="C1169" s="34"/>
      <c r="D1169" s="34"/>
      <c r="E1169" s="35"/>
    </row>
    <row r="1170" spans="2:5" x14ac:dyDescent="0.25">
      <c r="C1170" s="34"/>
      <c r="D1170" s="34"/>
      <c r="E1170" s="35"/>
    </row>
    <row r="1171" spans="2:5" x14ac:dyDescent="0.25">
      <c r="B1171" s="34"/>
      <c r="C1171" s="34"/>
      <c r="D1171" s="34"/>
      <c r="E1171" s="34"/>
    </row>
    <row r="1172" spans="2:5" x14ac:dyDescent="0.25">
      <c r="C1172" s="34"/>
      <c r="D1172" s="34"/>
      <c r="E1172" s="35"/>
    </row>
    <row r="1173" spans="2:5" x14ac:dyDescent="0.25">
      <c r="C1173" s="34"/>
      <c r="D1173" s="34"/>
      <c r="E1173" s="35"/>
    </row>
    <row r="1174" spans="2:5" x14ac:dyDescent="0.25">
      <c r="C1174" s="34"/>
      <c r="D1174" s="34"/>
      <c r="E1174" s="35"/>
    </row>
    <row r="1175" spans="2:5" x14ac:dyDescent="0.25">
      <c r="C1175" s="34"/>
      <c r="D1175" s="34"/>
      <c r="E1175" s="35"/>
    </row>
    <row r="1176" spans="2:5" x14ac:dyDescent="0.25">
      <c r="C1176" s="34"/>
      <c r="D1176" s="34"/>
      <c r="E1176" s="35"/>
    </row>
    <row r="1177" spans="2:5" x14ac:dyDescent="0.25">
      <c r="C1177" s="34"/>
      <c r="D1177" s="34"/>
      <c r="E1177" s="35"/>
    </row>
    <row r="1178" spans="2:5" x14ac:dyDescent="0.25">
      <c r="C1178" s="34"/>
      <c r="D1178" s="34"/>
      <c r="E1178" s="35"/>
    </row>
    <row r="1179" spans="2:5" x14ac:dyDescent="0.25">
      <c r="C1179" s="34"/>
      <c r="D1179" s="34"/>
      <c r="E1179" s="35"/>
    </row>
    <row r="1180" spans="2:5" x14ac:dyDescent="0.25">
      <c r="C1180" s="34"/>
      <c r="D1180" s="34"/>
      <c r="E1180" s="35"/>
    </row>
    <row r="1181" spans="2:5" x14ac:dyDescent="0.25">
      <c r="C1181" s="34"/>
      <c r="D1181" s="34"/>
      <c r="E1181" s="35"/>
    </row>
    <row r="1182" spans="2:5" x14ac:dyDescent="0.25">
      <c r="C1182" s="34"/>
      <c r="D1182" s="34"/>
      <c r="E1182" s="35"/>
    </row>
    <row r="1183" spans="2:5" x14ac:dyDescent="0.25">
      <c r="B1183" s="34"/>
      <c r="C1183" s="34"/>
      <c r="D1183" s="34"/>
      <c r="E1183" s="34"/>
    </row>
    <row r="1184" spans="2:5" x14ac:dyDescent="0.25">
      <c r="B1184" s="34"/>
      <c r="C1184" s="34"/>
      <c r="D1184" s="34"/>
      <c r="E1184" s="34"/>
    </row>
    <row r="1185" spans="2:5" x14ac:dyDescent="0.25">
      <c r="C1185" s="34"/>
      <c r="D1185" s="34"/>
      <c r="E1185" s="35"/>
    </row>
    <row r="1186" spans="2:5" x14ac:dyDescent="0.25">
      <c r="C1186" s="34"/>
      <c r="D1186" s="34"/>
      <c r="E1186" s="35"/>
    </row>
    <row r="1187" spans="2:5" x14ac:dyDescent="0.25">
      <c r="C1187" s="34"/>
      <c r="D1187" s="34"/>
      <c r="E1187" s="35"/>
    </row>
    <row r="1188" spans="2:5" x14ac:dyDescent="0.25">
      <c r="C1188" s="34"/>
      <c r="D1188" s="34"/>
      <c r="E1188" s="35"/>
    </row>
    <row r="1189" spans="2:5" x14ac:dyDescent="0.25">
      <c r="B1189" s="34"/>
      <c r="C1189" s="34"/>
      <c r="D1189" s="34"/>
      <c r="E1189" s="34"/>
    </row>
    <row r="1190" spans="2:5" x14ac:dyDescent="0.25">
      <c r="C1190" s="34"/>
      <c r="D1190" s="34"/>
      <c r="E1190" s="35"/>
    </row>
    <row r="1191" spans="2:5" x14ac:dyDescent="0.25">
      <c r="C1191" s="34"/>
      <c r="D1191" s="34"/>
      <c r="E1191" s="35"/>
    </row>
    <row r="1192" spans="2:5" x14ac:dyDescent="0.25">
      <c r="B1192" s="34"/>
      <c r="C1192" s="34"/>
      <c r="D1192" s="34"/>
      <c r="E1192" s="34"/>
    </row>
    <row r="1193" spans="2:5" x14ac:dyDescent="0.25">
      <c r="C1193" s="34"/>
      <c r="D1193" s="34"/>
      <c r="E1193" s="35"/>
    </row>
    <row r="1194" spans="2:5" x14ac:dyDescent="0.25">
      <c r="C1194" s="34"/>
      <c r="D1194" s="34"/>
      <c r="E1194" s="35"/>
    </row>
    <row r="1195" spans="2:5" x14ac:dyDescent="0.25">
      <c r="C1195" s="34"/>
      <c r="D1195" s="34"/>
      <c r="E1195" s="35"/>
    </row>
    <row r="1196" spans="2:5" x14ac:dyDescent="0.25">
      <c r="C1196" s="34"/>
      <c r="D1196" s="34"/>
      <c r="E1196" s="35"/>
    </row>
    <row r="1197" spans="2:5" x14ac:dyDescent="0.25">
      <c r="C1197" s="34"/>
      <c r="D1197" s="34"/>
      <c r="E1197" s="35"/>
    </row>
    <row r="1198" spans="2:5" x14ac:dyDescent="0.25">
      <c r="B1198" s="34"/>
      <c r="C1198" s="34"/>
      <c r="D1198" s="34"/>
      <c r="E1198" s="34"/>
    </row>
    <row r="1199" spans="2:5" x14ac:dyDescent="0.25">
      <c r="C1199" s="34"/>
      <c r="D1199" s="34"/>
      <c r="E1199" s="35"/>
    </row>
    <row r="1200" spans="2:5" x14ac:dyDescent="0.25">
      <c r="C1200" s="34"/>
      <c r="D1200" s="34"/>
      <c r="E1200" s="35"/>
    </row>
    <row r="1201" spans="3:5" x14ac:dyDescent="0.25">
      <c r="C1201" s="34"/>
      <c r="D1201" s="34"/>
      <c r="E1201" s="35"/>
    </row>
    <row r="1202" spans="3:5" x14ac:dyDescent="0.25">
      <c r="C1202" s="34"/>
      <c r="D1202" s="34"/>
      <c r="E1202" s="35"/>
    </row>
    <row r="1203" spans="3:5" x14ac:dyDescent="0.25">
      <c r="C1203" s="34"/>
      <c r="D1203" s="34"/>
      <c r="E1203" s="35"/>
    </row>
    <row r="1204" spans="3:5" x14ac:dyDescent="0.25">
      <c r="C1204" s="34"/>
      <c r="D1204" s="34"/>
      <c r="E1204" s="35"/>
    </row>
    <row r="1205" spans="3:5" x14ac:dyDescent="0.25">
      <c r="C1205" s="34"/>
      <c r="D1205" s="34"/>
      <c r="E1205" s="35"/>
    </row>
    <row r="1206" spans="3:5" x14ac:dyDescent="0.25">
      <c r="C1206" s="34"/>
      <c r="D1206" s="34"/>
      <c r="E1206" s="35"/>
    </row>
    <row r="1207" spans="3:5" x14ac:dyDescent="0.25">
      <c r="C1207" s="34"/>
      <c r="D1207" s="34"/>
      <c r="E1207" s="35"/>
    </row>
    <row r="1208" spans="3:5" x14ac:dyDescent="0.25">
      <c r="C1208" s="34"/>
      <c r="D1208" s="34"/>
      <c r="E1208" s="35"/>
    </row>
    <row r="1209" spans="3:5" x14ac:dyDescent="0.25">
      <c r="C1209" s="34"/>
      <c r="D1209" s="34"/>
      <c r="E1209" s="35"/>
    </row>
    <row r="1210" spans="3:5" x14ac:dyDescent="0.25">
      <c r="C1210" s="34"/>
      <c r="D1210" s="34"/>
      <c r="E1210" s="35"/>
    </row>
    <row r="1211" spans="3:5" x14ac:dyDescent="0.25">
      <c r="C1211" s="34"/>
      <c r="D1211" s="34"/>
      <c r="E1211" s="35"/>
    </row>
    <row r="1212" spans="3:5" x14ac:dyDescent="0.25">
      <c r="C1212" s="34"/>
      <c r="D1212" s="34"/>
      <c r="E1212" s="35"/>
    </row>
    <row r="1213" spans="3:5" x14ac:dyDescent="0.25">
      <c r="C1213" s="34"/>
      <c r="D1213" s="34"/>
      <c r="E1213" s="35"/>
    </row>
    <row r="1214" spans="3:5" x14ac:dyDescent="0.25">
      <c r="C1214" s="34"/>
      <c r="D1214" s="34"/>
      <c r="E1214" s="35"/>
    </row>
    <row r="1215" spans="3:5" x14ac:dyDescent="0.25">
      <c r="C1215" s="34"/>
      <c r="D1215" s="34"/>
      <c r="E1215" s="35"/>
    </row>
    <row r="1216" spans="3:5" x14ac:dyDescent="0.25">
      <c r="C1216" s="34"/>
      <c r="D1216" s="34"/>
      <c r="E1216" s="35"/>
    </row>
    <row r="1217" spans="2:5" x14ac:dyDescent="0.25">
      <c r="C1217" s="34"/>
      <c r="D1217" s="34"/>
      <c r="E1217" s="35"/>
    </row>
    <row r="1218" spans="2:5" x14ac:dyDescent="0.25">
      <c r="C1218" s="34"/>
      <c r="D1218" s="34"/>
      <c r="E1218" s="35"/>
    </row>
    <row r="1219" spans="2:5" x14ac:dyDescent="0.25">
      <c r="C1219" s="34"/>
      <c r="D1219" s="34"/>
      <c r="E1219" s="35"/>
    </row>
    <row r="1220" spans="2:5" x14ac:dyDescent="0.25">
      <c r="C1220" s="34"/>
      <c r="D1220" s="34"/>
      <c r="E1220" s="35"/>
    </row>
    <row r="1221" spans="2:5" x14ac:dyDescent="0.25">
      <c r="C1221" s="34"/>
      <c r="D1221" s="34"/>
      <c r="E1221" s="35"/>
    </row>
    <row r="1222" spans="2:5" x14ac:dyDescent="0.25">
      <c r="C1222" s="34"/>
      <c r="D1222" s="34"/>
      <c r="E1222" s="35"/>
    </row>
    <row r="1223" spans="2:5" x14ac:dyDescent="0.25">
      <c r="C1223" s="34"/>
      <c r="D1223" s="34"/>
      <c r="E1223" s="35"/>
    </row>
    <row r="1224" spans="2:5" x14ac:dyDescent="0.25">
      <c r="C1224" s="34"/>
      <c r="D1224" s="34"/>
      <c r="E1224" s="35"/>
    </row>
    <row r="1225" spans="2:5" x14ac:dyDescent="0.25">
      <c r="B1225" s="34"/>
      <c r="C1225" s="34"/>
      <c r="D1225" s="34"/>
      <c r="E1225" s="34"/>
    </row>
    <row r="1226" spans="2:5" x14ac:dyDescent="0.25">
      <c r="C1226" s="34"/>
      <c r="D1226" s="34"/>
      <c r="E1226" s="35"/>
    </row>
    <row r="1227" spans="2:5" x14ac:dyDescent="0.25">
      <c r="C1227" s="34"/>
      <c r="D1227" s="34"/>
      <c r="E1227" s="35"/>
    </row>
    <row r="1228" spans="2:5" x14ac:dyDescent="0.25">
      <c r="C1228" s="34"/>
      <c r="D1228" s="34"/>
      <c r="E1228" s="35"/>
    </row>
    <row r="1229" spans="2:5" x14ac:dyDescent="0.25">
      <c r="C1229" s="34"/>
      <c r="D1229" s="34"/>
      <c r="E1229" s="35"/>
    </row>
    <row r="1230" spans="2:5" x14ac:dyDescent="0.25">
      <c r="C1230" s="34"/>
      <c r="D1230" s="34"/>
      <c r="E1230" s="35"/>
    </row>
    <row r="1231" spans="2:5" x14ac:dyDescent="0.25">
      <c r="C1231" s="34"/>
      <c r="D1231" s="34"/>
      <c r="E1231" s="35"/>
    </row>
    <row r="1232" spans="2:5" x14ac:dyDescent="0.25">
      <c r="C1232" s="34"/>
      <c r="D1232" s="34"/>
      <c r="E1232" s="35"/>
    </row>
    <row r="1233" spans="2:5" x14ac:dyDescent="0.25">
      <c r="C1233" s="34"/>
      <c r="D1233" s="34"/>
      <c r="E1233" s="35"/>
    </row>
    <row r="1234" spans="2:5" x14ac:dyDescent="0.25">
      <c r="C1234" s="34"/>
      <c r="D1234" s="34"/>
      <c r="E1234" s="35"/>
    </row>
    <row r="1235" spans="2:5" x14ac:dyDescent="0.25">
      <c r="B1235" s="34"/>
      <c r="C1235" s="34"/>
      <c r="D1235" s="34"/>
      <c r="E1235" s="34"/>
    </row>
    <row r="1236" spans="2:5" x14ac:dyDescent="0.25">
      <c r="C1236" s="34"/>
      <c r="D1236" s="34"/>
      <c r="E1236" s="35"/>
    </row>
    <row r="1237" spans="2:5" x14ac:dyDescent="0.25">
      <c r="C1237" s="34"/>
      <c r="D1237" s="34"/>
      <c r="E1237" s="35"/>
    </row>
    <row r="1238" spans="2:5" x14ac:dyDescent="0.25">
      <c r="C1238" s="34"/>
      <c r="D1238" s="34"/>
      <c r="E1238" s="35"/>
    </row>
    <row r="1239" spans="2:5" x14ac:dyDescent="0.25">
      <c r="C1239" s="34"/>
      <c r="D1239" s="34"/>
      <c r="E1239" s="35"/>
    </row>
    <row r="1240" spans="2:5" x14ac:dyDescent="0.25">
      <c r="C1240" s="34"/>
      <c r="D1240" s="34"/>
      <c r="E1240" s="35"/>
    </row>
    <row r="1241" spans="2:5" x14ac:dyDescent="0.25">
      <c r="C1241" s="34"/>
      <c r="D1241" s="34"/>
      <c r="E1241" s="35"/>
    </row>
    <row r="1242" spans="2:5" x14ac:dyDescent="0.25">
      <c r="C1242" s="34"/>
      <c r="D1242" s="34"/>
      <c r="E1242" s="35"/>
    </row>
    <row r="1243" spans="2:5" x14ac:dyDescent="0.25">
      <c r="C1243" s="34"/>
      <c r="D1243" s="34"/>
      <c r="E1243" s="35"/>
    </row>
    <row r="1244" spans="2:5" x14ac:dyDescent="0.25">
      <c r="C1244" s="34"/>
      <c r="D1244" s="34"/>
      <c r="E1244" s="35"/>
    </row>
    <row r="1245" spans="2:5" x14ac:dyDescent="0.25">
      <c r="C1245" s="34"/>
      <c r="D1245" s="34"/>
      <c r="E1245" s="35"/>
    </row>
    <row r="1246" spans="2:5" x14ac:dyDescent="0.25">
      <c r="C1246" s="34"/>
      <c r="D1246" s="34"/>
      <c r="E1246" s="35"/>
    </row>
    <row r="1247" spans="2:5" x14ac:dyDescent="0.25">
      <c r="C1247" s="34"/>
      <c r="D1247" s="34"/>
      <c r="E1247" s="35"/>
    </row>
    <row r="1248" spans="2:5" x14ac:dyDescent="0.25">
      <c r="C1248" s="34"/>
      <c r="D1248" s="34"/>
      <c r="E1248" s="35"/>
    </row>
    <row r="1249" spans="3:5" x14ac:dyDescent="0.25">
      <c r="C1249" s="34"/>
      <c r="D1249" s="34"/>
      <c r="E1249" s="35"/>
    </row>
    <row r="1250" spans="3:5" x14ac:dyDescent="0.25">
      <c r="C1250" s="34"/>
      <c r="D1250" s="34"/>
      <c r="E1250" s="35"/>
    </row>
    <row r="1251" spans="3:5" x14ac:dyDescent="0.25">
      <c r="C1251" s="34"/>
      <c r="D1251" s="34"/>
      <c r="E1251" s="35"/>
    </row>
    <row r="1252" spans="3:5" x14ac:dyDescent="0.25">
      <c r="C1252" s="34"/>
      <c r="D1252" s="34"/>
      <c r="E1252" s="35"/>
    </row>
    <row r="1253" spans="3:5" x14ac:dyDescent="0.25">
      <c r="C1253" s="34"/>
      <c r="D1253" s="34"/>
      <c r="E1253" s="35"/>
    </row>
    <row r="1254" spans="3:5" x14ac:dyDescent="0.25">
      <c r="C1254" s="34"/>
      <c r="D1254" s="34"/>
      <c r="E1254" s="35"/>
    </row>
    <row r="1255" spans="3:5" x14ac:dyDescent="0.25">
      <c r="C1255" s="34"/>
      <c r="D1255" s="34"/>
      <c r="E1255" s="35"/>
    </row>
    <row r="1256" spans="3:5" x14ac:dyDescent="0.25">
      <c r="C1256" s="34"/>
      <c r="D1256" s="34"/>
      <c r="E1256" s="35"/>
    </row>
    <row r="1257" spans="3:5" x14ac:dyDescent="0.25">
      <c r="C1257" s="34"/>
      <c r="D1257" s="34"/>
      <c r="E1257" s="35"/>
    </row>
    <row r="1258" spans="3:5" x14ac:dyDescent="0.25">
      <c r="C1258" s="34"/>
      <c r="D1258" s="34"/>
      <c r="E1258" s="35"/>
    </row>
    <row r="1259" spans="3:5" x14ac:dyDescent="0.25">
      <c r="C1259" s="34"/>
      <c r="D1259" s="34"/>
      <c r="E1259" s="35"/>
    </row>
    <row r="1260" spans="3:5" x14ac:dyDescent="0.25">
      <c r="C1260" s="34"/>
      <c r="D1260" s="34"/>
      <c r="E1260" s="35"/>
    </row>
    <row r="1261" spans="3:5" x14ac:dyDescent="0.25">
      <c r="C1261" s="34"/>
      <c r="D1261" s="34"/>
      <c r="E1261" s="35"/>
    </row>
    <row r="1262" spans="3:5" x14ac:dyDescent="0.25">
      <c r="C1262" s="34"/>
      <c r="D1262" s="34"/>
      <c r="E1262" s="35"/>
    </row>
    <row r="1263" spans="3:5" x14ac:dyDescent="0.25">
      <c r="C1263" s="34"/>
      <c r="D1263" s="34"/>
      <c r="E1263" s="35"/>
    </row>
    <row r="1264" spans="3:5" x14ac:dyDescent="0.25">
      <c r="C1264" s="34"/>
      <c r="D1264" s="34"/>
      <c r="E1264" s="35"/>
    </row>
    <row r="1265" spans="3:5" x14ac:dyDescent="0.25">
      <c r="C1265" s="34"/>
      <c r="D1265" s="34"/>
      <c r="E1265" s="35"/>
    </row>
    <row r="1266" spans="3:5" x14ac:dyDescent="0.25">
      <c r="C1266" s="34"/>
      <c r="D1266" s="34"/>
      <c r="E1266" s="35"/>
    </row>
    <row r="1267" spans="3:5" x14ac:dyDescent="0.25">
      <c r="C1267" s="34"/>
      <c r="D1267" s="34"/>
      <c r="E1267" s="35"/>
    </row>
    <row r="1268" spans="3:5" x14ac:dyDescent="0.25">
      <c r="C1268" s="34"/>
      <c r="D1268" s="34"/>
      <c r="E1268" s="35"/>
    </row>
    <row r="1269" spans="3:5" x14ac:dyDescent="0.25">
      <c r="C1269" s="34"/>
      <c r="D1269" s="34"/>
      <c r="E1269" s="35"/>
    </row>
    <row r="1270" spans="3:5" x14ac:dyDescent="0.25">
      <c r="C1270" s="34"/>
      <c r="D1270" s="34"/>
      <c r="E1270" s="35"/>
    </row>
    <row r="1271" spans="3:5" x14ac:dyDescent="0.25">
      <c r="C1271" s="34"/>
      <c r="D1271" s="34"/>
      <c r="E1271" s="35"/>
    </row>
    <row r="1272" spans="3:5" x14ac:dyDescent="0.25">
      <c r="C1272" s="34"/>
      <c r="D1272" s="34"/>
      <c r="E1272" s="35"/>
    </row>
    <row r="1273" spans="3:5" x14ac:dyDescent="0.25">
      <c r="C1273" s="34"/>
      <c r="D1273" s="34"/>
      <c r="E1273" s="35"/>
    </row>
    <row r="1274" spans="3:5" x14ac:dyDescent="0.25">
      <c r="C1274" s="34"/>
      <c r="D1274" s="34"/>
      <c r="E1274" s="35"/>
    </row>
    <row r="1275" spans="3:5" x14ac:dyDescent="0.25">
      <c r="C1275" s="34"/>
      <c r="D1275" s="34"/>
      <c r="E1275" s="35"/>
    </row>
    <row r="1276" spans="3:5" x14ac:dyDescent="0.25">
      <c r="C1276" s="34"/>
      <c r="D1276" s="34"/>
      <c r="E1276" s="35"/>
    </row>
    <row r="1277" spans="3:5" x14ac:dyDescent="0.25">
      <c r="C1277" s="34"/>
      <c r="D1277" s="34"/>
      <c r="E1277" s="35"/>
    </row>
    <row r="1278" spans="3:5" x14ac:dyDescent="0.25">
      <c r="C1278" s="34"/>
      <c r="D1278" s="34"/>
      <c r="E1278" s="35"/>
    </row>
    <row r="1279" spans="3:5" x14ac:dyDescent="0.25">
      <c r="C1279" s="34"/>
      <c r="D1279" s="34"/>
      <c r="E1279" s="35"/>
    </row>
    <row r="1280" spans="3:5" x14ac:dyDescent="0.25">
      <c r="C1280" s="34"/>
      <c r="D1280" s="34"/>
      <c r="E1280" s="35"/>
    </row>
    <row r="1281" spans="2:5" x14ac:dyDescent="0.25">
      <c r="C1281" s="34"/>
      <c r="D1281" s="34"/>
      <c r="E1281" s="35"/>
    </row>
    <row r="1282" spans="2:5" x14ac:dyDescent="0.25">
      <c r="C1282" s="34"/>
      <c r="D1282" s="34"/>
      <c r="E1282" s="35"/>
    </row>
    <row r="1283" spans="2:5" x14ac:dyDescent="0.25">
      <c r="C1283" s="34"/>
      <c r="D1283" s="34"/>
      <c r="E1283" s="35"/>
    </row>
    <row r="1284" spans="2:5" x14ac:dyDescent="0.25">
      <c r="C1284" s="34"/>
      <c r="D1284" s="34"/>
      <c r="E1284" s="35"/>
    </row>
    <row r="1285" spans="2:5" x14ac:dyDescent="0.25">
      <c r="C1285" s="34"/>
      <c r="D1285" s="34"/>
      <c r="E1285" s="35"/>
    </row>
    <row r="1286" spans="2:5" x14ac:dyDescent="0.25">
      <c r="C1286" s="34"/>
      <c r="D1286" s="34"/>
      <c r="E1286" s="35"/>
    </row>
    <row r="1287" spans="2:5" x14ac:dyDescent="0.25">
      <c r="C1287" s="34"/>
      <c r="D1287" s="34"/>
      <c r="E1287" s="35"/>
    </row>
    <row r="1288" spans="2:5" x14ac:dyDescent="0.25">
      <c r="C1288" s="34"/>
      <c r="D1288" s="34"/>
      <c r="E1288" s="35"/>
    </row>
    <row r="1289" spans="2:5" x14ac:dyDescent="0.25">
      <c r="C1289" s="34"/>
      <c r="D1289" s="34"/>
      <c r="E1289" s="35"/>
    </row>
    <row r="1290" spans="2:5" x14ac:dyDescent="0.25">
      <c r="C1290" s="34"/>
      <c r="D1290" s="34"/>
      <c r="E1290" s="35"/>
    </row>
    <row r="1291" spans="2:5" x14ac:dyDescent="0.25">
      <c r="C1291" s="34"/>
      <c r="D1291" s="34"/>
      <c r="E1291" s="35"/>
    </row>
    <row r="1292" spans="2:5" x14ac:dyDescent="0.25">
      <c r="C1292" s="34"/>
      <c r="D1292" s="34"/>
      <c r="E1292" s="35"/>
    </row>
    <row r="1293" spans="2:5" x14ac:dyDescent="0.25">
      <c r="B1293" s="34"/>
      <c r="C1293" s="34"/>
      <c r="D1293" s="34"/>
      <c r="E1293" s="34"/>
    </row>
    <row r="1294" spans="2:5" x14ac:dyDescent="0.25">
      <c r="C1294" s="34"/>
      <c r="D1294" s="34"/>
      <c r="E1294" s="35"/>
    </row>
    <row r="1295" spans="2:5" x14ac:dyDescent="0.25">
      <c r="C1295" s="34"/>
      <c r="D1295" s="34"/>
      <c r="E1295" s="35"/>
    </row>
    <row r="1296" spans="2:5" x14ac:dyDescent="0.25">
      <c r="C1296" s="34"/>
      <c r="D1296" s="34"/>
      <c r="E1296" s="35"/>
    </row>
    <row r="1297" spans="3:5" x14ac:dyDescent="0.25">
      <c r="C1297" s="34"/>
      <c r="D1297" s="34"/>
      <c r="E1297" s="35"/>
    </row>
    <row r="1298" spans="3:5" x14ac:dyDescent="0.25">
      <c r="C1298" s="34"/>
      <c r="D1298" s="34"/>
      <c r="E1298" s="35"/>
    </row>
    <row r="1299" spans="3:5" x14ac:dyDescent="0.25">
      <c r="C1299" s="34"/>
      <c r="D1299" s="34"/>
      <c r="E1299" s="35"/>
    </row>
    <row r="1300" spans="3:5" x14ac:dyDescent="0.25">
      <c r="C1300" s="34"/>
      <c r="D1300" s="34"/>
      <c r="E1300" s="35"/>
    </row>
    <row r="1301" spans="3:5" x14ac:dyDescent="0.25">
      <c r="C1301" s="34"/>
      <c r="D1301" s="34"/>
      <c r="E1301" s="35"/>
    </row>
    <row r="1302" spans="3:5" x14ac:dyDescent="0.25">
      <c r="C1302" s="34"/>
      <c r="D1302" s="34"/>
      <c r="E1302" s="35"/>
    </row>
    <row r="1303" spans="3:5" x14ac:dyDescent="0.25">
      <c r="C1303" s="34"/>
      <c r="D1303" s="34"/>
      <c r="E1303" s="35"/>
    </row>
    <row r="1304" spans="3:5" x14ac:dyDescent="0.25">
      <c r="C1304" s="34"/>
      <c r="D1304" s="34"/>
      <c r="E1304" s="35"/>
    </row>
    <row r="1305" spans="3:5" x14ac:dyDescent="0.25">
      <c r="C1305" s="34"/>
      <c r="D1305" s="34"/>
      <c r="E1305" s="35"/>
    </row>
    <row r="1306" spans="3:5" x14ac:dyDescent="0.25">
      <c r="C1306" s="34"/>
      <c r="D1306" s="34"/>
      <c r="E1306" s="35"/>
    </row>
    <row r="1307" spans="3:5" x14ac:dyDescent="0.25">
      <c r="C1307" s="34"/>
      <c r="D1307" s="34"/>
      <c r="E1307" s="35"/>
    </row>
    <row r="1308" spans="3:5" x14ac:dyDescent="0.25">
      <c r="C1308" s="34"/>
      <c r="D1308" s="34"/>
      <c r="E1308" s="35"/>
    </row>
    <row r="1309" spans="3:5" x14ac:dyDescent="0.25">
      <c r="C1309" s="34"/>
      <c r="D1309" s="34"/>
      <c r="E1309" s="35"/>
    </row>
    <row r="1310" spans="3:5" x14ac:dyDescent="0.25">
      <c r="C1310" s="34"/>
      <c r="D1310" s="34"/>
      <c r="E1310" s="35"/>
    </row>
    <row r="1311" spans="3:5" x14ac:dyDescent="0.25">
      <c r="C1311" s="34"/>
      <c r="D1311" s="34"/>
      <c r="E1311" s="35"/>
    </row>
    <row r="1312" spans="3:5" x14ac:dyDescent="0.25">
      <c r="C1312" s="34"/>
      <c r="D1312" s="34"/>
      <c r="E1312" s="35"/>
    </row>
    <row r="1313" spans="3:5" x14ac:dyDescent="0.25">
      <c r="C1313" s="34"/>
      <c r="D1313" s="34"/>
      <c r="E1313" s="35"/>
    </row>
    <row r="1314" spans="3:5" x14ac:dyDescent="0.25">
      <c r="C1314" s="34"/>
      <c r="D1314" s="34"/>
      <c r="E1314" s="35"/>
    </row>
    <row r="1315" spans="3:5" x14ac:dyDescent="0.25">
      <c r="C1315" s="34"/>
      <c r="D1315" s="34"/>
      <c r="E1315" s="35"/>
    </row>
    <row r="1316" spans="3:5" x14ac:dyDescent="0.25">
      <c r="C1316" s="34"/>
      <c r="D1316" s="34"/>
      <c r="E1316" s="35"/>
    </row>
    <row r="1317" spans="3:5" x14ac:dyDescent="0.25">
      <c r="C1317" s="34"/>
      <c r="D1317" s="34"/>
      <c r="E1317" s="35"/>
    </row>
    <row r="1318" spans="3:5" x14ac:dyDescent="0.25">
      <c r="C1318" s="34"/>
      <c r="D1318" s="34"/>
      <c r="E1318" s="35"/>
    </row>
    <row r="1319" spans="3:5" x14ac:dyDescent="0.25">
      <c r="C1319" s="34"/>
      <c r="D1319" s="34"/>
      <c r="E1319" s="35"/>
    </row>
    <row r="1320" spans="3:5" x14ac:dyDescent="0.25">
      <c r="C1320" s="34"/>
      <c r="D1320" s="34"/>
      <c r="E1320" s="35"/>
    </row>
    <row r="1321" spans="3:5" x14ac:dyDescent="0.25">
      <c r="C1321" s="34"/>
      <c r="D1321" s="34"/>
      <c r="E1321" s="35"/>
    </row>
    <row r="1322" spans="3:5" x14ac:dyDescent="0.25">
      <c r="C1322" s="34"/>
      <c r="D1322" s="34"/>
      <c r="E1322" s="35"/>
    </row>
    <row r="1323" spans="3:5" x14ac:dyDescent="0.25">
      <c r="C1323" s="34"/>
      <c r="D1323" s="34"/>
      <c r="E1323" s="35"/>
    </row>
    <row r="1324" spans="3:5" x14ac:dyDescent="0.25">
      <c r="C1324" s="34"/>
      <c r="D1324" s="34"/>
      <c r="E1324" s="35"/>
    </row>
    <row r="1325" spans="3:5" x14ac:dyDescent="0.25">
      <c r="C1325" s="34"/>
      <c r="D1325" s="34"/>
      <c r="E1325" s="35"/>
    </row>
    <row r="1326" spans="3:5" x14ac:dyDescent="0.25">
      <c r="C1326" s="34"/>
      <c r="D1326" s="34"/>
      <c r="E1326" s="35"/>
    </row>
    <row r="1327" spans="3:5" x14ac:dyDescent="0.25">
      <c r="C1327" s="34"/>
      <c r="D1327" s="34"/>
      <c r="E1327" s="35"/>
    </row>
    <row r="1328" spans="3:5" x14ac:dyDescent="0.25">
      <c r="C1328" s="34"/>
      <c r="D1328" s="34"/>
      <c r="E1328" s="35"/>
    </row>
    <row r="1329" spans="3:5" x14ac:dyDescent="0.25">
      <c r="C1329" s="34"/>
      <c r="D1329" s="34"/>
      <c r="E1329" s="35"/>
    </row>
    <row r="1330" spans="3:5" x14ac:dyDescent="0.25">
      <c r="C1330" s="34"/>
      <c r="D1330" s="34"/>
      <c r="E1330" s="35"/>
    </row>
    <row r="1331" spans="3:5" x14ac:dyDescent="0.25">
      <c r="C1331" s="34"/>
      <c r="D1331" s="34"/>
      <c r="E1331" s="35"/>
    </row>
    <row r="1332" spans="3:5" x14ac:dyDescent="0.25">
      <c r="C1332" s="34"/>
      <c r="D1332" s="34"/>
      <c r="E1332" s="35"/>
    </row>
    <row r="1333" spans="3:5" x14ac:dyDescent="0.25">
      <c r="C1333" s="34"/>
      <c r="D1333" s="34"/>
      <c r="E1333" s="35"/>
    </row>
    <row r="1334" spans="3:5" x14ac:dyDescent="0.25">
      <c r="C1334" s="34"/>
      <c r="D1334" s="34"/>
      <c r="E1334" s="35"/>
    </row>
    <row r="1335" spans="3:5" x14ac:dyDescent="0.25">
      <c r="C1335" s="34"/>
      <c r="D1335" s="34"/>
      <c r="E1335" s="35"/>
    </row>
    <row r="1336" spans="3:5" x14ac:dyDescent="0.25">
      <c r="C1336" s="34"/>
      <c r="D1336" s="34"/>
      <c r="E1336" s="35"/>
    </row>
    <row r="1337" spans="3:5" x14ac:dyDescent="0.25">
      <c r="C1337" s="34"/>
      <c r="D1337" s="34"/>
      <c r="E1337" s="35"/>
    </row>
    <row r="1338" spans="3:5" x14ac:dyDescent="0.25">
      <c r="C1338" s="34"/>
      <c r="D1338" s="34"/>
      <c r="E1338" s="35"/>
    </row>
    <row r="1339" spans="3:5" x14ac:dyDescent="0.25">
      <c r="C1339" s="34"/>
      <c r="D1339" s="34"/>
      <c r="E1339" s="35"/>
    </row>
    <row r="1340" spans="3:5" x14ac:dyDescent="0.25">
      <c r="C1340" s="34"/>
      <c r="D1340" s="34"/>
      <c r="E1340" s="35"/>
    </row>
    <row r="1341" spans="3:5" x14ac:dyDescent="0.25">
      <c r="C1341" s="34"/>
      <c r="D1341" s="34"/>
      <c r="E1341" s="35"/>
    </row>
    <row r="1342" spans="3:5" x14ac:dyDescent="0.25">
      <c r="C1342" s="34"/>
      <c r="D1342" s="34"/>
      <c r="E1342" s="35"/>
    </row>
    <row r="1343" spans="3:5" x14ac:dyDescent="0.25">
      <c r="C1343" s="34"/>
      <c r="D1343" s="34"/>
      <c r="E1343" s="35"/>
    </row>
    <row r="1344" spans="3:5" x14ac:dyDescent="0.25">
      <c r="C1344" s="34"/>
      <c r="D1344" s="34"/>
      <c r="E1344" s="35"/>
    </row>
    <row r="1345" spans="2:5" x14ac:dyDescent="0.25">
      <c r="C1345" s="34"/>
      <c r="D1345" s="34"/>
      <c r="E1345" s="35"/>
    </row>
    <row r="1346" spans="2:5" x14ac:dyDescent="0.25">
      <c r="C1346" s="34"/>
      <c r="D1346" s="34"/>
      <c r="E1346" s="35"/>
    </row>
    <row r="1347" spans="2:5" x14ac:dyDescent="0.25">
      <c r="C1347" s="34"/>
      <c r="D1347" s="34"/>
      <c r="E1347" s="35"/>
    </row>
    <row r="1348" spans="2:5" x14ac:dyDescent="0.25">
      <c r="C1348" s="34"/>
      <c r="D1348" s="34"/>
      <c r="E1348" s="35"/>
    </row>
    <row r="1349" spans="2:5" x14ac:dyDescent="0.25">
      <c r="C1349" s="34"/>
      <c r="D1349" s="34"/>
      <c r="E1349" s="35"/>
    </row>
    <row r="1350" spans="2:5" x14ac:dyDescent="0.25">
      <c r="C1350" s="34"/>
      <c r="D1350" s="34"/>
      <c r="E1350" s="35"/>
    </row>
    <row r="1351" spans="2:5" x14ac:dyDescent="0.25">
      <c r="C1351" s="34"/>
      <c r="D1351" s="34"/>
      <c r="E1351" s="35"/>
    </row>
    <row r="1352" spans="2:5" x14ac:dyDescent="0.25">
      <c r="C1352" s="34"/>
      <c r="D1352" s="34"/>
      <c r="E1352" s="35"/>
    </row>
    <row r="1353" spans="2:5" x14ac:dyDescent="0.25">
      <c r="C1353" s="34"/>
      <c r="D1353" s="34"/>
      <c r="E1353" s="35"/>
    </row>
    <row r="1354" spans="2:5" x14ac:dyDescent="0.25">
      <c r="C1354" s="34"/>
      <c r="D1354" s="34"/>
      <c r="E1354" s="35"/>
    </row>
    <row r="1355" spans="2:5" x14ac:dyDescent="0.25">
      <c r="B1355" s="34"/>
      <c r="C1355" s="34"/>
      <c r="D1355" s="34"/>
      <c r="E1355" s="34"/>
    </row>
    <row r="1356" spans="2:5" x14ac:dyDescent="0.25">
      <c r="C1356" s="34"/>
      <c r="D1356" s="34"/>
      <c r="E1356" s="35"/>
    </row>
    <row r="1357" spans="2:5" x14ac:dyDescent="0.25">
      <c r="C1357" s="34"/>
      <c r="D1357" s="34"/>
      <c r="E1357" s="35"/>
    </row>
    <row r="1358" spans="2:5" x14ac:dyDescent="0.25">
      <c r="C1358" s="34"/>
      <c r="D1358" s="34"/>
      <c r="E1358" s="35"/>
    </row>
    <row r="1359" spans="2:5" x14ac:dyDescent="0.25">
      <c r="C1359" s="34"/>
      <c r="D1359" s="34"/>
      <c r="E1359" s="35"/>
    </row>
    <row r="1360" spans="2:5" x14ac:dyDescent="0.25">
      <c r="B1360" s="34"/>
      <c r="C1360" s="34"/>
      <c r="D1360" s="34"/>
      <c r="E1360" s="34"/>
    </row>
    <row r="1361" spans="3:5" x14ac:dyDescent="0.25">
      <c r="C1361" s="34"/>
      <c r="D1361" s="34"/>
      <c r="E1361" s="35"/>
    </row>
    <row r="1362" spans="3:5" x14ac:dyDescent="0.25">
      <c r="C1362" s="34"/>
      <c r="D1362" s="34"/>
      <c r="E1362" s="35"/>
    </row>
    <row r="1363" spans="3:5" x14ac:dyDescent="0.25">
      <c r="C1363" s="34"/>
      <c r="D1363" s="34"/>
      <c r="E1363" s="35"/>
    </row>
    <row r="1364" spans="3:5" x14ac:dyDescent="0.25">
      <c r="C1364" s="34"/>
      <c r="D1364" s="34"/>
      <c r="E1364" s="35"/>
    </row>
    <row r="1365" spans="3:5" x14ac:dyDescent="0.25">
      <c r="C1365" s="34"/>
      <c r="D1365" s="34"/>
      <c r="E1365" s="35"/>
    </row>
    <row r="1366" spans="3:5" x14ac:dyDescent="0.25">
      <c r="C1366" s="34"/>
      <c r="D1366" s="34"/>
      <c r="E1366" s="35"/>
    </row>
    <row r="1367" spans="3:5" x14ac:dyDescent="0.25">
      <c r="C1367" s="34"/>
      <c r="D1367" s="34"/>
      <c r="E1367" s="35"/>
    </row>
    <row r="1368" spans="3:5" x14ac:dyDescent="0.25">
      <c r="C1368" s="34"/>
      <c r="D1368" s="34"/>
      <c r="E1368" s="35"/>
    </row>
    <row r="1369" spans="3:5" x14ac:dyDescent="0.25">
      <c r="C1369" s="34"/>
      <c r="D1369" s="34"/>
      <c r="E1369" s="35"/>
    </row>
    <row r="1370" spans="3:5" x14ac:dyDescent="0.25">
      <c r="C1370" s="34"/>
      <c r="D1370" s="34"/>
      <c r="E1370" s="35"/>
    </row>
    <row r="1371" spans="3:5" x14ac:dyDescent="0.25">
      <c r="C1371" s="34"/>
      <c r="D1371" s="34"/>
      <c r="E1371" s="35"/>
    </row>
    <row r="1372" spans="3:5" x14ac:dyDescent="0.25">
      <c r="C1372" s="34"/>
      <c r="D1372" s="34"/>
      <c r="E1372" s="35"/>
    </row>
    <row r="1373" spans="3:5" x14ac:dyDescent="0.25">
      <c r="C1373" s="34"/>
      <c r="D1373" s="34"/>
      <c r="E1373" s="35"/>
    </row>
    <row r="1374" spans="3:5" x14ac:dyDescent="0.25">
      <c r="C1374" s="34"/>
      <c r="D1374" s="34"/>
      <c r="E1374" s="35"/>
    </row>
    <row r="1375" spans="3:5" x14ac:dyDescent="0.25">
      <c r="C1375" s="34"/>
      <c r="D1375" s="34"/>
      <c r="E1375" s="35"/>
    </row>
    <row r="1376" spans="3:5" x14ac:dyDescent="0.25">
      <c r="C1376" s="34"/>
      <c r="D1376" s="34"/>
      <c r="E1376" s="35"/>
    </row>
    <row r="1377" spans="3:5" x14ac:dyDescent="0.25">
      <c r="C1377" s="34"/>
      <c r="D1377" s="34"/>
      <c r="E1377" s="35"/>
    </row>
    <row r="1378" spans="3:5" x14ac:dyDescent="0.25">
      <c r="C1378" s="34"/>
      <c r="D1378" s="34"/>
      <c r="E1378" s="35"/>
    </row>
    <row r="1379" spans="3:5" x14ac:dyDescent="0.25">
      <c r="C1379" s="34"/>
      <c r="D1379" s="34"/>
      <c r="E1379" s="35"/>
    </row>
    <row r="1380" spans="3:5" x14ac:dyDescent="0.25">
      <c r="C1380" s="34"/>
      <c r="D1380" s="34"/>
      <c r="E1380" s="35"/>
    </row>
    <row r="1381" spans="3:5" x14ac:dyDescent="0.25">
      <c r="C1381" s="34"/>
      <c r="D1381" s="34"/>
      <c r="E1381" s="35"/>
    </row>
    <row r="1382" spans="3:5" x14ac:dyDescent="0.25">
      <c r="C1382" s="34"/>
      <c r="D1382" s="34"/>
      <c r="E1382" s="35"/>
    </row>
    <row r="1383" spans="3:5" x14ac:dyDescent="0.25">
      <c r="C1383" s="34"/>
      <c r="D1383" s="34"/>
      <c r="E1383" s="35"/>
    </row>
    <row r="1384" spans="3:5" x14ac:dyDescent="0.25">
      <c r="C1384" s="34"/>
      <c r="D1384" s="34"/>
      <c r="E1384" s="35"/>
    </row>
    <row r="1385" spans="3:5" x14ac:dyDescent="0.25">
      <c r="C1385" s="34"/>
      <c r="D1385" s="34"/>
      <c r="E1385" s="35"/>
    </row>
    <row r="1386" spans="3:5" x14ac:dyDescent="0.25">
      <c r="C1386" s="34"/>
      <c r="D1386" s="34"/>
      <c r="E1386" s="35"/>
    </row>
    <row r="1387" spans="3:5" x14ac:dyDescent="0.25">
      <c r="C1387" s="34"/>
      <c r="D1387" s="34"/>
      <c r="E1387" s="35"/>
    </row>
    <row r="1388" spans="3:5" x14ac:dyDescent="0.25">
      <c r="C1388" s="34"/>
      <c r="D1388" s="34"/>
      <c r="E1388" s="35"/>
    </row>
    <row r="1389" spans="3:5" x14ac:dyDescent="0.25">
      <c r="C1389" s="34"/>
      <c r="D1389" s="34"/>
      <c r="E1389" s="35"/>
    </row>
    <row r="1390" spans="3:5" x14ac:dyDescent="0.25">
      <c r="C1390" s="34"/>
      <c r="D1390" s="34"/>
      <c r="E1390" s="35"/>
    </row>
    <row r="1391" spans="3:5" x14ac:dyDescent="0.25">
      <c r="C1391" s="34"/>
      <c r="D1391" s="34"/>
      <c r="E1391" s="35"/>
    </row>
    <row r="1392" spans="3:5" x14ac:dyDescent="0.25">
      <c r="C1392" s="34"/>
      <c r="D1392" s="34"/>
      <c r="E1392" s="35"/>
    </row>
    <row r="1393" spans="2:5" x14ac:dyDescent="0.25">
      <c r="C1393" s="34"/>
      <c r="D1393" s="34"/>
      <c r="E1393" s="35"/>
    </row>
    <row r="1394" spans="2:5" x14ac:dyDescent="0.25">
      <c r="C1394" s="34"/>
      <c r="D1394" s="34"/>
      <c r="E1394" s="35"/>
    </row>
    <row r="1395" spans="2:5" x14ac:dyDescent="0.25">
      <c r="C1395" s="34"/>
      <c r="D1395" s="34"/>
      <c r="E1395" s="35"/>
    </row>
    <row r="1396" spans="2:5" x14ac:dyDescent="0.25">
      <c r="C1396" s="34"/>
      <c r="D1396" s="34"/>
      <c r="E1396" s="35"/>
    </row>
    <row r="1397" spans="2:5" x14ac:dyDescent="0.25">
      <c r="C1397" s="34"/>
      <c r="D1397" s="34"/>
      <c r="E1397" s="35"/>
    </row>
    <row r="1398" spans="2:5" x14ac:dyDescent="0.25">
      <c r="C1398" s="34"/>
      <c r="D1398" s="34"/>
      <c r="E1398" s="35"/>
    </row>
    <row r="1399" spans="2:5" x14ac:dyDescent="0.25">
      <c r="C1399" s="34"/>
      <c r="D1399" s="34"/>
      <c r="E1399" s="35"/>
    </row>
    <row r="1400" spans="2:5" x14ac:dyDescent="0.25">
      <c r="C1400" s="34"/>
      <c r="D1400" s="34"/>
      <c r="E1400" s="35"/>
    </row>
    <row r="1401" spans="2:5" x14ac:dyDescent="0.25">
      <c r="C1401" s="34"/>
      <c r="D1401" s="34"/>
      <c r="E1401" s="35"/>
    </row>
    <row r="1402" spans="2:5" x14ac:dyDescent="0.25">
      <c r="C1402" s="34"/>
      <c r="D1402" s="34"/>
      <c r="E1402" s="35"/>
    </row>
    <row r="1403" spans="2:5" x14ac:dyDescent="0.25">
      <c r="B1403" s="34"/>
      <c r="C1403" s="34"/>
      <c r="D1403" s="34"/>
      <c r="E1403" s="34"/>
    </row>
    <row r="1404" spans="2:5" x14ac:dyDescent="0.25">
      <c r="C1404" s="34"/>
      <c r="D1404" s="34"/>
      <c r="E1404" s="35"/>
    </row>
    <row r="1405" spans="2:5" x14ac:dyDescent="0.25">
      <c r="C1405" s="34"/>
      <c r="D1405" s="34"/>
      <c r="E1405" s="35"/>
    </row>
    <row r="1406" spans="2:5" x14ac:dyDescent="0.25">
      <c r="C1406" s="34"/>
      <c r="D1406" s="34"/>
      <c r="E1406" s="35"/>
    </row>
    <row r="1407" spans="2:5" x14ac:dyDescent="0.25">
      <c r="C1407" s="34"/>
      <c r="D1407" s="34"/>
      <c r="E1407" s="35"/>
    </row>
    <row r="1408" spans="2:5" x14ac:dyDescent="0.25">
      <c r="C1408" s="34"/>
      <c r="D1408" s="34"/>
      <c r="E1408" s="35"/>
    </row>
    <row r="1409" spans="2:5" x14ac:dyDescent="0.25">
      <c r="C1409" s="34"/>
      <c r="D1409" s="34"/>
      <c r="E1409" s="35"/>
    </row>
    <row r="1410" spans="2:5" x14ac:dyDescent="0.25">
      <c r="C1410" s="34"/>
      <c r="D1410" s="34"/>
      <c r="E1410" s="35"/>
    </row>
    <row r="1411" spans="2:5" x14ac:dyDescent="0.25">
      <c r="C1411" s="34"/>
      <c r="D1411" s="34"/>
      <c r="E1411" s="35"/>
    </row>
    <row r="1412" spans="2:5" x14ac:dyDescent="0.25">
      <c r="C1412" s="34"/>
      <c r="D1412" s="34"/>
      <c r="E1412" s="35"/>
    </row>
    <row r="1413" spans="2:5" x14ac:dyDescent="0.25">
      <c r="C1413" s="34"/>
      <c r="D1413" s="34"/>
      <c r="E1413" s="35"/>
    </row>
    <row r="1414" spans="2:5" x14ac:dyDescent="0.25">
      <c r="B1414" s="34"/>
      <c r="C1414" s="34"/>
      <c r="D1414" s="34"/>
      <c r="E1414" s="34"/>
    </row>
    <row r="1415" spans="2:5" x14ac:dyDescent="0.25">
      <c r="C1415" s="34"/>
      <c r="D1415" s="34"/>
      <c r="E1415" s="35"/>
    </row>
    <row r="1416" spans="2:5" x14ac:dyDescent="0.25">
      <c r="C1416" s="34"/>
      <c r="D1416" s="34"/>
      <c r="E1416" s="35"/>
    </row>
    <row r="1417" spans="2:5" x14ac:dyDescent="0.25">
      <c r="C1417" s="34"/>
      <c r="D1417" s="34"/>
      <c r="E1417" s="35"/>
    </row>
    <row r="1418" spans="2:5" x14ac:dyDescent="0.25">
      <c r="C1418" s="34"/>
      <c r="D1418" s="34"/>
      <c r="E1418" s="35"/>
    </row>
    <row r="1419" spans="2:5" x14ac:dyDescent="0.25">
      <c r="C1419" s="34"/>
      <c r="D1419" s="34"/>
      <c r="E1419" s="35"/>
    </row>
    <row r="1420" spans="2:5" x14ac:dyDescent="0.25">
      <c r="B1420" s="34"/>
      <c r="C1420" s="34"/>
      <c r="D1420" s="34"/>
      <c r="E1420" s="34"/>
    </row>
    <row r="1421" spans="2:5" x14ac:dyDescent="0.25">
      <c r="C1421" s="34"/>
      <c r="D1421" s="34"/>
      <c r="E1421" s="35"/>
    </row>
    <row r="1422" spans="2:5" x14ac:dyDescent="0.25">
      <c r="C1422" s="34"/>
      <c r="D1422" s="34"/>
      <c r="E1422" s="35"/>
    </row>
    <row r="1423" spans="2:5" x14ac:dyDescent="0.25">
      <c r="C1423" s="34"/>
      <c r="D1423" s="34"/>
      <c r="E1423" s="35"/>
    </row>
    <row r="1424" spans="2:5" x14ac:dyDescent="0.25">
      <c r="C1424" s="34"/>
      <c r="D1424" s="34"/>
      <c r="E1424" s="35"/>
    </row>
    <row r="1425" spans="3:5" x14ac:dyDescent="0.25">
      <c r="C1425" s="34"/>
      <c r="D1425" s="34"/>
      <c r="E1425" s="35"/>
    </row>
    <row r="1426" spans="3:5" x14ac:dyDescent="0.25">
      <c r="C1426" s="34"/>
      <c r="D1426" s="34"/>
      <c r="E1426" s="35"/>
    </row>
    <row r="1427" spans="3:5" x14ac:dyDescent="0.25">
      <c r="C1427" s="34"/>
      <c r="D1427" s="34"/>
      <c r="E1427" s="35"/>
    </row>
    <row r="1428" spans="3:5" x14ac:dyDescent="0.25">
      <c r="C1428" s="34"/>
      <c r="D1428" s="34"/>
      <c r="E1428" s="35"/>
    </row>
    <row r="1429" spans="3:5" x14ac:dyDescent="0.25">
      <c r="C1429" s="34"/>
      <c r="D1429" s="34"/>
      <c r="E1429" s="35"/>
    </row>
    <row r="1430" spans="3:5" x14ac:dyDescent="0.25">
      <c r="C1430" s="34"/>
      <c r="D1430" s="34"/>
      <c r="E1430" s="35"/>
    </row>
    <row r="1431" spans="3:5" x14ac:dyDescent="0.25">
      <c r="C1431" s="34"/>
      <c r="D1431" s="34"/>
      <c r="E1431" s="35"/>
    </row>
    <row r="1432" spans="3:5" x14ac:dyDescent="0.25">
      <c r="C1432" s="34"/>
      <c r="D1432" s="34"/>
      <c r="E1432" s="35"/>
    </row>
    <row r="1433" spans="3:5" x14ac:dyDescent="0.25">
      <c r="C1433" s="34"/>
      <c r="D1433" s="34"/>
      <c r="E1433" s="35"/>
    </row>
    <row r="1434" spans="3:5" x14ac:dyDescent="0.25">
      <c r="C1434" s="34"/>
      <c r="D1434" s="34"/>
      <c r="E1434" s="35"/>
    </row>
    <row r="1435" spans="3:5" x14ac:dyDescent="0.25">
      <c r="C1435" s="34"/>
      <c r="D1435" s="34"/>
      <c r="E1435" s="35"/>
    </row>
    <row r="1436" spans="3:5" x14ac:dyDescent="0.25">
      <c r="C1436" s="34"/>
      <c r="D1436" s="34"/>
      <c r="E1436" s="35"/>
    </row>
    <row r="1437" spans="3:5" x14ac:dyDescent="0.25">
      <c r="C1437" s="34"/>
      <c r="D1437" s="34"/>
      <c r="E1437" s="35"/>
    </row>
    <row r="1438" spans="3:5" x14ac:dyDescent="0.25">
      <c r="C1438" s="34"/>
      <c r="D1438" s="34"/>
      <c r="E1438" s="35"/>
    </row>
    <row r="1439" spans="3:5" x14ac:dyDescent="0.25">
      <c r="C1439" s="34"/>
      <c r="D1439" s="34"/>
      <c r="E1439" s="35"/>
    </row>
    <row r="1440" spans="3:5" x14ac:dyDescent="0.25">
      <c r="C1440" s="34"/>
      <c r="D1440" s="34"/>
      <c r="E1440" s="35"/>
    </row>
    <row r="1441" spans="2:5" x14ac:dyDescent="0.25">
      <c r="C1441" s="34"/>
      <c r="D1441" s="34"/>
      <c r="E1441" s="35"/>
    </row>
    <row r="1442" spans="2:5" x14ac:dyDescent="0.25">
      <c r="C1442" s="34"/>
      <c r="D1442" s="34"/>
      <c r="E1442" s="35"/>
    </row>
    <row r="1443" spans="2:5" x14ac:dyDescent="0.25">
      <c r="C1443" s="34"/>
      <c r="D1443" s="34"/>
      <c r="E1443" s="35"/>
    </row>
    <row r="1444" spans="2:5" x14ac:dyDescent="0.25">
      <c r="C1444" s="34"/>
      <c r="D1444" s="34"/>
      <c r="E1444" s="35"/>
    </row>
    <row r="1445" spans="2:5" x14ac:dyDescent="0.25">
      <c r="C1445" s="34"/>
      <c r="D1445" s="34"/>
      <c r="E1445" s="35"/>
    </row>
    <row r="1446" spans="2:5" x14ac:dyDescent="0.25">
      <c r="C1446" s="34"/>
      <c r="D1446" s="34"/>
      <c r="E1446" s="35"/>
    </row>
    <row r="1447" spans="2:5" x14ac:dyDescent="0.25">
      <c r="C1447" s="34"/>
      <c r="D1447" s="34"/>
      <c r="E1447" s="35"/>
    </row>
    <row r="1448" spans="2:5" x14ac:dyDescent="0.25">
      <c r="C1448" s="34"/>
      <c r="D1448" s="34"/>
      <c r="E1448" s="35"/>
    </row>
    <row r="1449" spans="2:5" x14ac:dyDescent="0.25">
      <c r="C1449" s="34"/>
      <c r="D1449" s="34"/>
      <c r="E1449" s="35"/>
    </row>
    <row r="1450" spans="2:5" x14ac:dyDescent="0.25">
      <c r="C1450" s="34"/>
      <c r="D1450" s="34"/>
      <c r="E1450" s="35"/>
    </row>
    <row r="1451" spans="2:5" x14ac:dyDescent="0.25">
      <c r="C1451" s="34"/>
      <c r="D1451" s="34"/>
      <c r="E1451" s="35"/>
    </row>
    <row r="1452" spans="2:5" x14ac:dyDescent="0.25">
      <c r="B1452" s="34"/>
      <c r="C1452" s="34"/>
      <c r="D1452" s="34"/>
      <c r="E1452" s="34"/>
    </row>
    <row r="1453" spans="2:5" x14ac:dyDescent="0.25">
      <c r="C1453" s="34"/>
      <c r="D1453" s="34"/>
      <c r="E1453" s="35"/>
    </row>
    <row r="1454" spans="2:5" x14ac:dyDescent="0.25">
      <c r="C1454" s="34"/>
      <c r="D1454" s="34"/>
      <c r="E1454" s="35"/>
    </row>
    <row r="1455" spans="2:5" x14ac:dyDescent="0.25">
      <c r="C1455" s="34"/>
      <c r="D1455" s="34"/>
      <c r="E1455" s="35"/>
    </row>
    <row r="1456" spans="2:5" x14ac:dyDescent="0.25">
      <c r="C1456" s="34"/>
      <c r="D1456" s="34"/>
      <c r="E1456" s="35"/>
    </row>
    <row r="1457" spans="2:5" x14ac:dyDescent="0.25">
      <c r="C1457" s="34"/>
      <c r="D1457" s="34"/>
      <c r="E1457" s="35"/>
    </row>
    <row r="1458" spans="2:5" x14ac:dyDescent="0.25">
      <c r="C1458" s="34"/>
      <c r="D1458" s="34"/>
      <c r="E1458" s="35"/>
    </row>
    <row r="1459" spans="2:5" x14ac:dyDescent="0.25">
      <c r="C1459" s="34"/>
      <c r="D1459" s="34"/>
      <c r="E1459" s="35"/>
    </row>
    <row r="1460" spans="2:5" x14ac:dyDescent="0.25">
      <c r="C1460" s="34"/>
      <c r="D1460" s="34"/>
      <c r="E1460" s="35"/>
    </row>
    <row r="1461" spans="2:5" x14ac:dyDescent="0.25">
      <c r="C1461" s="34"/>
      <c r="D1461" s="34"/>
      <c r="E1461" s="35"/>
    </row>
    <row r="1462" spans="2:5" x14ac:dyDescent="0.25">
      <c r="C1462" s="34"/>
      <c r="D1462" s="34"/>
      <c r="E1462" s="35"/>
    </row>
    <row r="1463" spans="2:5" x14ac:dyDescent="0.25">
      <c r="B1463" s="34"/>
      <c r="C1463" s="34"/>
      <c r="D1463" s="34"/>
      <c r="E1463" s="34"/>
    </row>
    <row r="1464" spans="2:5" x14ac:dyDescent="0.25">
      <c r="B1464" s="34"/>
      <c r="C1464" s="34"/>
      <c r="D1464" s="34"/>
      <c r="E1464" s="34"/>
    </row>
    <row r="1465" spans="2:5" x14ac:dyDescent="0.25">
      <c r="C1465" s="34"/>
      <c r="D1465" s="34"/>
      <c r="E1465" s="35"/>
    </row>
    <row r="1466" spans="2:5" x14ac:dyDescent="0.25">
      <c r="C1466" s="34"/>
      <c r="D1466" s="34"/>
      <c r="E1466" s="35"/>
    </row>
    <row r="1467" spans="2:5" x14ac:dyDescent="0.25">
      <c r="C1467" s="34"/>
      <c r="D1467" s="34"/>
      <c r="E1467" s="35"/>
    </row>
    <row r="1468" spans="2:5" x14ac:dyDescent="0.25">
      <c r="C1468" s="34"/>
      <c r="D1468" s="34"/>
      <c r="E1468" s="35"/>
    </row>
    <row r="1469" spans="2:5" x14ac:dyDescent="0.25">
      <c r="C1469" s="34"/>
      <c r="D1469" s="34"/>
      <c r="E1469" s="35"/>
    </row>
    <row r="1470" spans="2:5" x14ac:dyDescent="0.25">
      <c r="C1470" s="34"/>
      <c r="D1470" s="34"/>
      <c r="E1470" s="35"/>
    </row>
    <row r="1471" spans="2:5" x14ac:dyDescent="0.25">
      <c r="C1471" s="34"/>
      <c r="D1471" s="34"/>
      <c r="E1471" s="35"/>
    </row>
    <row r="1472" spans="2:5" x14ac:dyDescent="0.25">
      <c r="C1472" s="34"/>
      <c r="D1472" s="34"/>
      <c r="E1472" s="35"/>
    </row>
    <row r="1473" spans="3:5" x14ac:dyDescent="0.25">
      <c r="C1473" s="34"/>
      <c r="D1473" s="34"/>
      <c r="E1473" s="35"/>
    </row>
    <row r="1474" spans="3:5" x14ac:dyDescent="0.25">
      <c r="C1474" s="34"/>
      <c r="D1474" s="34"/>
      <c r="E1474" s="35"/>
    </row>
    <row r="1475" spans="3:5" x14ac:dyDescent="0.25">
      <c r="C1475" s="34"/>
      <c r="D1475" s="34"/>
      <c r="E1475" s="35"/>
    </row>
    <row r="1476" spans="3:5" x14ac:dyDescent="0.25">
      <c r="C1476" s="34"/>
      <c r="D1476" s="34"/>
      <c r="E1476" s="35"/>
    </row>
    <row r="1477" spans="3:5" x14ac:dyDescent="0.25">
      <c r="C1477" s="34"/>
      <c r="D1477" s="34"/>
      <c r="E1477" s="35"/>
    </row>
    <row r="1478" spans="3:5" x14ac:dyDescent="0.25">
      <c r="C1478" s="34"/>
      <c r="D1478" s="34"/>
      <c r="E1478" s="35"/>
    </row>
    <row r="1479" spans="3:5" x14ac:dyDescent="0.25">
      <c r="C1479" s="34"/>
      <c r="D1479" s="34"/>
      <c r="E1479" s="35"/>
    </row>
    <row r="1480" spans="3:5" x14ac:dyDescent="0.25">
      <c r="C1480" s="34"/>
      <c r="D1480" s="34"/>
      <c r="E1480" s="35"/>
    </row>
    <row r="1481" spans="3:5" x14ac:dyDescent="0.25">
      <c r="C1481" s="34"/>
      <c r="D1481" s="34"/>
      <c r="E1481" s="35"/>
    </row>
    <row r="1482" spans="3:5" x14ac:dyDescent="0.25">
      <c r="C1482" s="34"/>
      <c r="D1482" s="34"/>
      <c r="E1482" s="35"/>
    </row>
    <row r="1483" spans="3:5" x14ac:dyDescent="0.25">
      <c r="C1483" s="34"/>
      <c r="D1483" s="34"/>
      <c r="E1483" s="35"/>
    </row>
    <row r="1484" spans="3:5" x14ac:dyDescent="0.25">
      <c r="C1484" s="34"/>
      <c r="D1484" s="34"/>
      <c r="E1484" s="35"/>
    </row>
    <row r="1485" spans="3:5" x14ac:dyDescent="0.25">
      <c r="C1485" s="34"/>
      <c r="D1485" s="34"/>
      <c r="E1485" s="35"/>
    </row>
    <row r="1486" spans="3:5" x14ac:dyDescent="0.25">
      <c r="C1486" s="34"/>
      <c r="D1486" s="34"/>
      <c r="E1486" s="35"/>
    </row>
    <row r="1487" spans="3:5" x14ac:dyDescent="0.25">
      <c r="C1487" s="34"/>
      <c r="D1487" s="34"/>
      <c r="E1487" s="35"/>
    </row>
    <row r="1488" spans="3:5" x14ac:dyDescent="0.25">
      <c r="C1488" s="34"/>
      <c r="D1488" s="34"/>
      <c r="E1488" s="35"/>
    </row>
    <row r="1489" spans="2:5" x14ac:dyDescent="0.25">
      <c r="B1489" s="34"/>
      <c r="C1489" s="34"/>
      <c r="D1489" s="34"/>
      <c r="E1489" s="34"/>
    </row>
    <row r="1490" spans="2:5" x14ac:dyDescent="0.25">
      <c r="C1490" s="34"/>
      <c r="D1490" s="34"/>
      <c r="E1490" s="35"/>
    </row>
    <row r="1491" spans="2:5" x14ac:dyDescent="0.25">
      <c r="C1491" s="34"/>
      <c r="D1491" s="34"/>
      <c r="E1491" s="35"/>
    </row>
    <row r="1492" spans="2:5" x14ac:dyDescent="0.25">
      <c r="C1492" s="34"/>
      <c r="D1492" s="34"/>
      <c r="E1492" s="35"/>
    </row>
    <row r="1493" spans="2:5" x14ac:dyDescent="0.25">
      <c r="C1493" s="34"/>
      <c r="D1493" s="34"/>
      <c r="E1493" s="35"/>
    </row>
    <row r="1494" spans="2:5" x14ac:dyDescent="0.25">
      <c r="C1494" s="34"/>
      <c r="D1494" s="34"/>
      <c r="E1494" s="35"/>
    </row>
    <row r="1495" spans="2:5" x14ac:dyDescent="0.25">
      <c r="C1495" s="34"/>
      <c r="D1495" s="34"/>
      <c r="E1495" s="35"/>
    </row>
    <row r="1496" spans="2:5" x14ac:dyDescent="0.25">
      <c r="C1496" s="34"/>
      <c r="D1496" s="34"/>
      <c r="E1496" s="35"/>
    </row>
    <row r="1497" spans="2:5" x14ac:dyDescent="0.25">
      <c r="C1497" s="34"/>
      <c r="D1497" s="34"/>
      <c r="E1497" s="35"/>
    </row>
    <row r="1498" spans="2:5" x14ac:dyDescent="0.25">
      <c r="C1498" s="34"/>
      <c r="D1498" s="34"/>
      <c r="E1498" s="35"/>
    </row>
    <row r="1499" spans="2:5" x14ac:dyDescent="0.25">
      <c r="C1499" s="34"/>
      <c r="D1499" s="34"/>
      <c r="E1499" s="35"/>
    </row>
    <row r="1500" spans="2:5" x14ac:dyDescent="0.25">
      <c r="C1500" s="34"/>
      <c r="D1500" s="34"/>
      <c r="E1500" s="35"/>
    </row>
    <row r="1501" spans="2:5" x14ac:dyDescent="0.25">
      <c r="C1501" s="34"/>
      <c r="D1501" s="34"/>
      <c r="E1501" s="35"/>
    </row>
    <row r="1502" spans="2:5" x14ac:dyDescent="0.25">
      <c r="C1502" s="34"/>
      <c r="D1502" s="34"/>
      <c r="E1502" s="35"/>
    </row>
    <row r="1503" spans="2:5" x14ac:dyDescent="0.25">
      <c r="C1503" s="34"/>
      <c r="D1503" s="34"/>
      <c r="E1503" s="35"/>
    </row>
    <row r="1504" spans="2:5" x14ac:dyDescent="0.25">
      <c r="C1504" s="34"/>
      <c r="D1504" s="34"/>
      <c r="E1504" s="35"/>
    </row>
    <row r="1505" spans="2:5" x14ac:dyDescent="0.25">
      <c r="C1505" s="34"/>
      <c r="D1505" s="34"/>
      <c r="E1505" s="35"/>
    </row>
    <row r="1506" spans="2:5" x14ac:dyDescent="0.25">
      <c r="C1506" s="34"/>
      <c r="D1506" s="34"/>
      <c r="E1506" s="35"/>
    </row>
    <row r="1507" spans="2:5" x14ac:dyDescent="0.25">
      <c r="C1507" s="34"/>
      <c r="D1507" s="34"/>
      <c r="E1507" s="35"/>
    </row>
    <row r="1508" spans="2:5" x14ac:dyDescent="0.25">
      <c r="C1508" s="34"/>
      <c r="D1508" s="34"/>
      <c r="E1508" s="35"/>
    </row>
    <row r="1509" spans="2:5" x14ac:dyDescent="0.25">
      <c r="C1509" s="34"/>
      <c r="D1509" s="34"/>
      <c r="E1509" s="35"/>
    </row>
    <row r="1510" spans="2:5" x14ac:dyDescent="0.25">
      <c r="C1510" s="34"/>
      <c r="D1510" s="34"/>
      <c r="E1510" s="35"/>
    </row>
    <row r="1511" spans="2:5" x14ac:dyDescent="0.25">
      <c r="B1511" s="34"/>
      <c r="C1511" s="34"/>
      <c r="D1511" s="34"/>
      <c r="E1511" s="34"/>
    </row>
    <row r="1512" spans="2:5" x14ac:dyDescent="0.25">
      <c r="C1512" s="34"/>
      <c r="D1512" s="34"/>
      <c r="E1512" s="35"/>
    </row>
    <row r="1513" spans="2:5" x14ac:dyDescent="0.25">
      <c r="C1513" s="34"/>
      <c r="D1513" s="34"/>
      <c r="E1513" s="35"/>
    </row>
    <row r="1514" spans="2:5" x14ac:dyDescent="0.25">
      <c r="C1514" s="34"/>
      <c r="D1514" s="34"/>
      <c r="E1514" s="35"/>
    </row>
    <row r="1515" spans="2:5" x14ac:dyDescent="0.25">
      <c r="C1515" s="34"/>
      <c r="D1515" s="34"/>
      <c r="E1515" s="35"/>
    </row>
    <row r="1516" spans="2:5" x14ac:dyDescent="0.25">
      <c r="C1516" s="34"/>
      <c r="D1516" s="34"/>
      <c r="E1516" s="35"/>
    </row>
    <row r="1517" spans="2:5" x14ac:dyDescent="0.25">
      <c r="C1517" s="34"/>
      <c r="D1517" s="34"/>
      <c r="E1517" s="35"/>
    </row>
    <row r="1518" spans="2:5" x14ac:dyDescent="0.25">
      <c r="C1518" s="34"/>
      <c r="D1518" s="34"/>
      <c r="E1518" s="35"/>
    </row>
    <row r="1519" spans="2:5" x14ac:dyDescent="0.25">
      <c r="C1519" s="34"/>
      <c r="D1519" s="34"/>
      <c r="E1519" s="35"/>
    </row>
    <row r="1520" spans="2:5" x14ac:dyDescent="0.25">
      <c r="C1520" s="34"/>
      <c r="D1520" s="34"/>
      <c r="E1520" s="35"/>
    </row>
    <row r="1521" spans="2:5" x14ac:dyDescent="0.25">
      <c r="C1521" s="34"/>
      <c r="D1521" s="34"/>
      <c r="E1521" s="35"/>
    </row>
    <row r="1522" spans="2:5" x14ac:dyDescent="0.25">
      <c r="C1522" s="34"/>
      <c r="D1522" s="34"/>
      <c r="E1522" s="35"/>
    </row>
    <row r="1523" spans="2:5" x14ac:dyDescent="0.25">
      <c r="C1523" s="34"/>
      <c r="D1523" s="34"/>
      <c r="E1523" s="35"/>
    </row>
    <row r="1524" spans="2:5" x14ac:dyDescent="0.25">
      <c r="C1524" s="34"/>
      <c r="D1524" s="34"/>
      <c r="E1524" s="35"/>
    </row>
    <row r="1525" spans="2:5" x14ac:dyDescent="0.25">
      <c r="C1525" s="34"/>
      <c r="D1525" s="34"/>
      <c r="E1525" s="35"/>
    </row>
    <row r="1526" spans="2:5" x14ac:dyDescent="0.25">
      <c r="B1526" s="34"/>
      <c r="C1526" s="34"/>
      <c r="D1526" s="34"/>
      <c r="E1526" s="34"/>
    </row>
    <row r="1527" spans="2:5" x14ac:dyDescent="0.25">
      <c r="C1527" s="34"/>
      <c r="D1527" s="34"/>
      <c r="E1527" s="35"/>
    </row>
    <row r="1528" spans="2:5" x14ac:dyDescent="0.25">
      <c r="C1528" s="34"/>
      <c r="D1528" s="34"/>
      <c r="E1528" s="35"/>
    </row>
    <row r="1529" spans="2:5" x14ac:dyDescent="0.25">
      <c r="C1529" s="34"/>
      <c r="D1529" s="34"/>
      <c r="E1529" s="35"/>
    </row>
    <row r="1530" spans="2:5" x14ac:dyDescent="0.25">
      <c r="C1530" s="34"/>
      <c r="D1530" s="34"/>
      <c r="E1530" s="35"/>
    </row>
    <row r="1531" spans="2:5" x14ac:dyDescent="0.25">
      <c r="C1531" s="34"/>
      <c r="D1531" s="34"/>
      <c r="E1531" s="35"/>
    </row>
    <row r="1532" spans="2:5" x14ac:dyDescent="0.25">
      <c r="C1532" s="34"/>
      <c r="D1532" s="34"/>
      <c r="E1532" s="35"/>
    </row>
    <row r="1533" spans="2:5" x14ac:dyDescent="0.25">
      <c r="C1533" s="34"/>
      <c r="D1533" s="34"/>
      <c r="E1533" s="35"/>
    </row>
    <row r="1534" spans="2:5" x14ac:dyDescent="0.25">
      <c r="C1534" s="34"/>
      <c r="D1534" s="34"/>
      <c r="E1534" s="35"/>
    </row>
    <row r="1535" spans="2:5" x14ac:dyDescent="0.25">
      <c r="C1535" s="34"/>
      <c r="D1535" s="34"/>
      <c r="E1535" s="35"/>
    </row>
    <row r="1536" spans="2:5" x14ac:dyDescent="0.25">
      <c r="C1536" s="34"/>
      <c r="D1536" s="34"/>
      <c r="E1536" s="35"/>
    </row>
    <row r="1537" spans="2:5" x14ac:dyDescent="0.25">
      <c r="C1537" s="34"/>
      <c r="D1537" s="34"/>
      <c r="E1537" s="35"/>
    </row>
    <row r="1538" spans="2:5" x14ac:dyDescent="0.25">
      <c r="C1538" s="34"/>
      <c r="D1538" s="34"/>
      <c r="E1538" s="35"/>
    </row>
    <row r="1539" spans="2:5" x14ac:dyDescent="0.25">
      <c r="C1539" s="34"/>
      <c r="D1539" s="34"/>
      <c r="E1539" s="35"/>
    </row>
    <row r="1540" spans="2:5" x14ac:dyDescent="0.25">
      <c r="C1540" s="34"/>
      <c r="D1540" s="34"/>
      <c r="E1540" s="35"/>
    </row>
    <row r="1541" spans="2:5" x14ac:dyDescent="0.25">
      <c r="C1541" s="34"/>
      <c r="D1541" s="34"/>
      <c r="E1541" s="35"/>
    </row>
    <row r="1542" spans="2:5" x14ac:dyDescent="0.25">
      <c r="C1542" s="34"/>
      <c r="D1542" s="34"/>
      <c r="E1542" s="35"/>
    </row>
    <row r="1543" spans="2:5" x14ac:dyDescent="0.25">
      <c r="C1543" s="34"/>
      <c r="D1543" s="34"/>
      <c r="E1543" s="35"/>
    </row>
    <row r="1544" spans="2:5" x14ac:dyDescent="0.25">
      <c r="C1544" s="34"/>
      <c r="D1544" s="34"/>
      <c r="E1544" s="35"/>
    </row>
    <row r="1545" spans="2:5" x14ac:dyDescent="0.25">
      <c r="C1545" s="34"/>
      <c r="D1545" s="34"/>
      <c r="E1545" s="35"/>
    </row>
    <row r="1546" spans="2:5" x14ac:dyDescent="0.25">
      <c r="C1546" s="34"/>
      <c r="D1546" s="34"/>
      <c r="E1546" s="35"/>
    </row>
    <row r="1547" spans="2:5" x14ac:dyDescent="0.25">
      <c r="C1547" s="34"/>
      <c r="D1547" s="34"/>
      <c r="E1547" s="35"/>
    </row>
    <row r="1548" spans="2:5" x14ac:dyDescent="0.25">
      <c r="C1548" s="34"/>
      <c r="D1548" s="34"/>
      <c r="E1548" s="35"/>
    </row>
    <row r="1549" spans="2:5" x14ac:dyDescent="0.25">
      <c r="C1549" s="34"/>
      <c r="D1549" s="34"/>
      <c r="E1549" s="35"/>
    </row>
    <row r="1550" spans="2:5" x14ac:dyDescent="0.25">
      <c r="B1550" s="34"/>
      <c r="C1550" s="34"/>
      <c r="D1550" s="34"/>
      <c r="E1550" s="34"/>
    </row>
    <row r="1551" spans="2:5" x14ac:dyDescent="0.25">
      <c r="C1551" s="34"/>
      <c r="D1551" s="34"/>
      <c r="E1551" s="35"/>
    </row>
    <row r="1552" spans="2:5" x14ac:dyDescent="0.25">
      <c r="C1552" s="34"/>
      <c r="D1552" s="34"/>
      <c r="E1552" s="35"/>
    </row>
    <row r="1553" spans="3:5" x14ac:dyDescent="0.25">
      <c r="C1553" s="34"/>
      <c r="D1553" s="34"/>
      <c r="E1553" s="35"/>
    </row>
    <row r="1554" spans="3:5" x14ac:dyDescent="0.25">
      <c r="C1554" s="34"/>
      <c r="D1554" s="34"/>
      <c r="E1554" s="35"/>
    </row>
    <row r="1555" spans="3:5" x14ac:dyDescent="0.25">
      <c r="C1555" s="34"/>
      <c r="D1555" s="34"/>
      <c r="E1555" s="35"/>
    </row>
    <row r="1556" spans="3:5" x14ac:dyDescent="0.25">
      <c r="C1556" s="34"/>
      <c r="D1556" s="34"/>
      <c r="E1556" s="35"/>
    </row>
    <row r="1557" spans="3:5" x14ac:dyDescent="0.25">
      <c r="C1557" s="34"/>
      <c r="D1557" s="34"/>
      <c r="E1557" s="35"/>
    </row>
    <row r="1558" spans="3:5" x14ac:dyDescent="0.25">
      <c r="C1558" s="34"/>
      <c r="D1558" s="34"/>
      <c r="E1558" s="35"/>
    </row>
    <row r="1559" spans="3:5" x14ac:dyDescent="0.25">
      <c r="C1559" s="34"/>
      <c r="D1559" s="34"/>
      <c r="E1559" s="35"/>
    </row>
    <row r="1560" spans="3:5" x14ac:dyDescent="0.25">
      <c r="C1560" s="34"/>
      <c r="D1560" s="34"/>
      <c r="E1560" s="35"/>
    </row>
    <row r="1561" spans="3:5" x14ac:dyDescent="0.25">
      <c r="C1561" s="34"/>
      <c r="D1561" s="34"/>
      <c r="E1561" s="35"/>
    </row>
    <row r="1562" spans="3:5" x14ac:dyDescent="0.25">
      <c r="C1562" s="34"/>
      <c r="D1562" s="34"/>
      <c r="E1562" s="35"/>
    </row>
    <row r="1563" spans="3:5" x14ac:dyDescent="0.25">
      <c r="C1563" s="34"/>
      <c r="D1563" s="34"/>
      <c r="E1563" s="35"/>
    </row>
    <row r="1564" spans="3:5" x14ac:dyDescent="0.25">
      <c r="C1564" s="34"/>
      <c r="D1564" s="34"/>
      <c r="E1564" s="35"/>
    </row>
    <row r="1565" spans="3:5" x14ac:dyDescent="0.25">
      <c r="C1565" s="34"/>
      <c r="D1565" s="34"/>
      <c r="E1565" s="35"/>
    </row>
    <row r="1566" spans="3:5" x14ac:dyDescent="0.25">
      <c r="C1566" s="34"/>
      <c r="D1566" s="34"/>
      <c r="E1566" s="35"/>
    </row>
    <row r="1567" spans="3:5" x14ac:dyDescent="0.25">
      <c r="C1567" s="34"/>
      <c r="D1567" s="34"/>
      <c r="E1567" s="35"/>
    </row>
    <row r="1568" spans="3:5" x14ac:dyDescent="0.25">
      <c r="C1568" s="34"/>
      <c r="D1568" s="34"/>
      <c r="E1568" s="35"/>
    </row>
    <row r="1569" spans="3:5" x14ac:dyDescent="0.25">
      <c r="C1569" s="34"/>
      <c r="D1569" s="34"/>
      <c r="E1569" s="35"/>
    </row>
    <row r="1570" spans="3:5" x14ac:dyDescent="0.25">
      <c r="C1570" s="34"/>
      <c r="D1570" s="34"/>
      <c r="E1570" s="35"/>
    </row>
    <row r="1571" spans="3:5" x14ac:dyDescent="0.25">
      <c r="C1571" s="34"/>
      <c r="D1571" s="34"/>
      <c r="E1571" s="35"/>
    </row>
    <row r="1572" spans="3:5" x14ac:dyDescent="0.25">
      <c r="C1572" s="34"/>
      <c r="D1572" s="34"/>
      <c r="E1572" s="35"/>
    </row>
    <row r="1573" spans="3:5" x14ac:dyDescent="0.25">
      <c r="C1573" s="34"/>
      <c r="D1573" s="34"/>
      <c r="E1573" s="35"/>
    </row>
    <row r="1574" spans="3:5" x14ac:dyDescent="0.25">
      <c r="C1574" s="34"/>
      <c r="D1574" s="34"/>
      <c r="E1574" s="35"/>
    </row>
    <row r="1575" spans="3:5" x14ac:dyDescent="0.25">
      <c r="C1575" s="34"/>
      <c r="D1575" s="34"/>
      <c r="E1575" s="35"/>
    </row>
    <row r="1576" spans="3:5" x14ac:dyDescent="0.25">
      <c r="C1576" s="34"/>
      <c r="D1576" s="34"/>
      <c r="E1576" s="35"/>
    </row>
    <row r="1577" spans="3:5" x14ac:dyDescent="0.25">
      <c r="C1577" s="34"/>
      <c r="D1577" s="34"/>
      <c r="E1577" s="35"/>
    </row>
    <row r="1578" spans="3:5" x14ac:dyDescent="0.25">
      <c r="C1578" s="34"/>
      <c r="D1578" s="34"/>
      <c r="E1578" s="35"/>
    </row>
    <row r="1579" spans="3:5" x14ac:dyDescent="0.25">
      <c r="C1579" s="34"/>
      <c r="D1579" s="34"/>
      <c r="E1579" s="35"/>
    </row>
    <row r="1580" spans="3:5" x14ac:dyDescent="0.25">
      <c r="C1580" s="34"/>
      <c r="D1580" s="34"/>
      <c r="E1580" s="35"/>
    </row>
    <row r="1581" spans="3:5" x14ac:dyDescent="0.25">
      <c r="C1581" s="34"/>
      <c r="D1581" s="34"/>
      <c r="E1581" s="35"/>
    </row>
    <row r="1582" spans="3:5" x14ac:dyDescent="0.25">
      <c r="C1582" s="34"/>
      <c r="D1582" s="34"/>
      <c r="E1582" s="35"/>
    </row>
    <row r="1583" spans="3:5" x14ac:dyDescent="0.25">
      <c r="C1583" s="34"/>
      <c r="D1583" s="34"/>
      <c r="E1583" s="35"/>
    </row>
    <row r="1584" spans="3:5" x14ac:dyDescent="0.25">
      <c r="C1584" s="34"/>
      <c r="D1584" s="34"/>
      <c r="E1584" s="35"/>
    </row>
    <row r="1585" spans="3:5" x14ac:dyDescent="0.25">
      <c r="C1585" s="34"/>
      <c r="D1585" s="34"/>
      <c r="E1585" s="35"/>
    </row>
    <row r="1586" spans="3:5" x14ac:dyDescent="0.25">
      <c r="C1586" s="34"/>
      <c r="D1586" s="34"/>
      <c r="E1586" s="35"/>
    </row>
    <row r="1587" spans="3:5" x14ac:dyDescent="0.25">
      <c r="C1587" s="34"/>
      <c r="D1587" s="34"/>
      <c r="E1587" s="35"/>
    </row>
    <row r="1588" spans="3:5" x14ac:dyDescent="0.25">
      <c r="C1588" s="34"/>
      <c r="D1588" s="34"/>
      <c r="E1588" s="35"/>
    </row>
    <row r="1589" spans="3:5" x14ac:dyDescent="0.25">
      <c r="C1589" s="34"/>
      <c r="D1589" s="34"/>
      <c r="E1589" s="35"/>
    </row>
    <row r="1590" spans="3:5" x14ac:dyDescent="0.25">
      <c r="C1590" s="34"/>
      <c r="D1590" s="34"/>
      <c r="E1590" s="35"/>
    </row>
    <row r="1591" spans="3:5" x14ac:dyDescent="0.25">
      <c r="C1591" s="34"/>
      <c r="D1591" s="34"/>
      <c r="E1591" s="35"/>
    </row>
    <row r="1592" spans="3:5" x14ac:dyDescent="0.25">
      <c r="C1592" s="34"/>
      <c r="D1592" s="34"/>
      <c r="E1592" s="35"/>
    </row>
    <row r="1593" spans="3:5" x14ac:dyDescent="0.25">
      <c r="C1593" s="34"/>
      <c r="D1593" s="34"/>
      <c r="E1593" s="35"/>
    </row>
    <row r="1594" spans="3:5" x14ac:dyDescent="0.25">
      <c r="C1594" s="34"/>
      <c r="D1594" s="34"/>
      <c r="E1594" s="35"/>
    </row>
    <row r="1595" spans="3:5" x14ac:dyDescent="0.25">
      <c r="C1595" s="34"/>
      <c r="D1595" s="34"/>
      <c r="E1595" s="35"/>
    </row>
    <row r="1596" spans="3:5" x14ac:dyDescent="0.25">
      <c r="C1596" s="34"/>
      <c r="D1596" s="34"/>
      <c r="E1596" s="35"/>
    </row>
    <row r="1597" spans="3:5" x14ac:dyDescent="0.25">
      <c r="C1597" s="34"/>
      <c r="D1597" s="34"/>
      <c r="E1597" s="35"/>
    </row>
    <row r="1598" spans="3:5" x14ac:dyDescent="0.25">
      <c r="C1598" s="34"/>
      <c r="D1598" s="34"/>
      <c r="E1598" s="35"/>
    </row>
    <row r="1599" spans="3:5" x14ac:dyDescent="0.25">
      <c r="C1599" s="34"/>
      <c r="D1599" s="34"/>
      <c r="E1599" s="35"/>
    </row>
    <row r="1600" spans="3:5" x14ac:dyDescent="0.25">
      <c r="C1600" s="34"/>
      <c r="D1600" s="34"/>
      <c r="E1600" s="35"/>
    </row>
    <row r="1601" spans="3:5" x14ac:dyDescent="0.25">
      <c r="C1601" s="34"/>
      <c r="D1601" s="34"/>
      <c r="E1601" s="35"/>
    </row>
    <row r="1602" spans="3:5" x14ac:dyDescent="0.25">
      <c r="C1602" s="34"/>
      <c r="D1602" s="34"/>
      <c r="E1602" s="35"/>
    </row>
    <row r="1603" spans="3:5" x14ac:dyDescent="0.25">
      <c r="C1603" s="34"/>
      <c r="D1603" s="34"/>
      <c r="E1603" s="35"/>
    </row>
    <row r="1604" spans="3:5" x14ac:dyDescent="0.25">
      <c r="C1604" s="34"/>
      <c r="D1604" s="34"/>
      <c r="E1604" s="35"/>
    </row>
    <row r="1605" spans="3:5" x14ac:dyDescent="0.25">
      <c r="C1605" s="34"/>
      <c r="D1605" s="34"/>
      <c r="E1605" s="35"/>
    </row>
    <row r="1606" spans="3:5" x14ac:dyDescent="0.25">
      <c r="C1606" s="34"/>
      <c r="D1606" s="34"/>
      <c r="E1606" s="35"/>
    </row>
    <row r="1607" spans="3:5" x14ac:dyDescent="0.25">
      <c r="C1607" s="34"/>
      <c r="D1607" s="34"/>
      <c r="E1607" s="35"/>
    </row>
    <row r="1608" spans="3:5" x14ac:dyDescent="0.25">
      <c r="C1608" s="34"/>
      <c r="D1608" s="34"/>
      <c r="E1608" s="35"/>
    </row>
    <row r="1609" spans="3:5" x14ac:dyDescent="0.25">
      <c r="C1609" s="34"/>
      <c r="D1609" s="34"/>
      <c r="E1609" s="35"/>
    </row>
    <row r="1610" spans="3:5" x14ac:dyDescent="0.25">
      <c r="C1610" s="34"/>
      <c r="D1610" s="34"/>
      <c r="E1610" s="35"/>
    </row>
    <row r="1611" spans="3:5" x14ac:dyDescent="0.25">
      <c r="C1611" s="34"/>
      <c r="D1611" s="34"/>
      <c r="E1611" s="35"/>
    </row>
    <row r="1612" spans="3:5" x14ac:dyDescent="0.25">
      <c r="C1612" s="34"/>
      <c r="D1612" s="34"/>
      <c r="E1612" s="35"/>
    </row>
    <row r="1613" spans="3:5" x14ac:dyDescent="0.25">
      <c r="C1613" s="34"/>
      <c r="D1613" s="34"/>
      <c r="E1613" s="35"/>
    </row>
    <row r="1614" spans="3:5" x14ac:dyDescent="0.25">
      <c r="C1614" s="34"/>
      <c r="D1614" s="34"/>
      <c r="E1614" s="35"/>
    </row>
    <row r="1615" spans="3:5" x14ac:dyDescent="0.25">
      <c r="C1615" s="34"/>
      <c r="D1615" s="34"/>
      <c r="E1615" s="35"/>
    </row>
    <row r="1616" spans="3:5" x14ac:dyDescent="0.25">
      <c r="C1616" s="34"/>
      <c r="D1616" s="34"/>
      <c r="E1616" s="35"/>
    </row>
    <row r="1617" spans="3:5" x14ac:dyDescent="0.25">
      <c r="C1617" s="34"/>
      <c r="D1617" s="34"/>
      <c r="E1617" s="35"/>
    </row>
    <row r="1618" spans="3:5" x14ac:dyDescent="0.25">
      <c r="C1618" s="34"/>
      <c r="D1618" s="34"/>
      <c r="E1618" s="35"/>
    </row>
    <row r="1619" spans="3:5" x14ac:dyDescent="0.25">
      <c r="C1619" s="34"/>
      <c r="D1619" s="34"/>
      <c r="E1619" s="35"/>
    </row>
    <row r="1620" spans="3:5" x14ac:dyDescent="0.25">
      <c r="C1620" s="34"/>
      <c r="D1620" s="34"/>
      <c r="E1620" s="35"/>
    </row>
    <row r="1621" spans="3:5" x14ac:dyDescent="0.25">
      <c r="C1621" s="34"/>
      <c r="D1621" s="34"/>
      <c r="E1621" s="35"/>
    </row>
    <row r="1622" spans="3:5" x14ac:dyDescent="0.25">
      <c r="C1622" s="34"/>
      <c r="D1622" s="34"/>
      <c r="E1622" s="35"/>
    </row>
    <row r="1623" spans="3:5" x14ac:dyDescent="0.25">
      <c r="C1623" s="34"/>
      <c r="D1623" s="34"/>
      <c r="E1623" s="35"/>
    </row>
    <row r="1624" spans="3:5" x14ac:dyDescent="0.25">
      <c r="C1624" s="34"/>
      <c r="D1624" s="34"/>
      <c r="E1624" s="35"/>
    </row>
    <row r="1625" spans="3:5" x14ac:dyDescent="0.25">
      <c r="C1625" s="34"/>
      <c r="D1625" s="34"/>
      <c r="E1625" s="35"/>
    </row>
    <row r="1626" spans="3:5" x14ac:dyDescent="0.25">
      <c r="C1626" s="34"/>
      <c r="D1626" s="34"/>
      <c r="E1626" s="35"/>
    </row>
    <row r="1627" spans="3:5" x14ac:dyDescent="0.25">
      <c r="C1627" s="34"/>
      <c r="D1627" s="34"/>
      <c r="E1627" s="35"/>
    </row>
    <row r="1628" spans="3:5" x14ac:dyDescent="0.25">
      <c r="C1628" s="34"/>
      <c r="D1628" s="34"/>
      <c r="E1628" s="35"/>
    </row>
    <row r="1629" spans="3:5" x14ac:dyDescent="0.25">
      <c r="C1629" s="34"/>
      <c r="D1629" s="34"/>
      <c r="E1629" s="35"/>
    </row>
    <row r="1630" spans="3:5" x14ac:dyDescent="0.25">
      <c r="C1630" s="34"/>
      <c r="D1630" s="34"/>
      <c r="E1630" s="35"/>
    </row>
    <row r="1631" spans="3:5" x14ac:dyDescent="0.25">
      <c r="C1631" s="34"/>
      <c r="D1631" s="34"/>
      <c r="E1631" s="35"/>
    </row>
    <row r="1632" spans="3:5" x14ac:dyDescent="0.25">
      <c r="C1632" s="34"/>
      <c r="D1632" s="34"/>
      <c r="E1632" s="35"/>
    </row>
    <row r="1633" spans="2:5" x14ac:dyDescent="0.25">
      <c r="C1633" s="34"/>
      <c r="D1633" s="34"/>
      <c r="E1633" s="35"/>
    </row>
    <row r="1634" spans="2:5" x14ac:dyDescent="0.25">
      <c r="B1634" s="34"/>
      <c r="C1634" s="34"/>
      <c r="D1634" s="34"/>
      <c r="E1634" s="34"/>
    </row>
    <row r="1635" spans="2:5" x14ac:dyDescent="0.25">
      <c r="C1635" s="34"/>
      <c r="D1635" s="34"/>
      <c r="E1635" s="35"/>
    </row>
    <row r="1636" spans="2:5" x14ac:dyDescent="0.25">
      <c r="B1636" s="34"/>
      <c r="C1636" s="34"/>
      <c r="D1636" s="34"/>
      <c r="E1636" s="34"/>
    </row>
    <row r="1637" spans="2:5" x14ac:dyDescent="0.25">
      <c r="C1637" s="34"/>
      <c r="D1637" s="34"/>
      <c r="E1637" s="35"/>
    </row>
    <row r="1638" spans="2:5" x14ac:dyDescent="0.25">
      <c r="C1638" s="34"/>
      <c r="D1638" s="34"/>
      <c r="E1638" s="35"/>
    </row>
    <row r="1639" spans="2:5" x14ac:dyDescent="0.25">
      <c r="C1639" s="34"/>
      <c r="D1639" s="34"/>
      <c r="E1639" s="35"/>
    </row>
    <row r="1640" spans="2:5" x14ac:dyDescent="0.25">
      <c r="C1640" s="34"/>
      <c r="D1640" s="34"/>
      <c r="E1640" s="35"/>
    </row>
    <row r="1641" spans="2:5" x14ac:dyDescent="0.25">
      <c r="C1641" s="34"/>
      <c r="D1641" s="34"/>
      <c r="E1641" s="35"/>
    </row>
    <row r="1642" spans="2:5" x14ac:dyDescent="0.25">
      <c r="C1642" s="34"/>
      <c r="D1642" s="34"/>
      <c r="E1642" s="35"/>
    </row>
    <row r="1643" spans="2:5" x14ac:dyDescent="0.25">
      <c r="C1643" s="34"/>
      <c r="D1643" s="34"/>
      <c r="E1643" s="35"/>
    </row>
    <row r="1644" spans="2:5" x14ac:dyDescent="0.25">
      <c r="C1644" s="34"/>
      <c r="D1644" s="34"/>
      <c r="E1644" s="35"/>
    </row>
    <row r="1645" spans="2:5" x14ac:dyDescent="0.25">
      <c r="C1645" s="34"/>
      <c r="D1645" s="34"/>
      <c r="E1645" s="35"/>
    </row>
    <row r="1646" spans="2:5" x14ac:dyDescent="0.25">
      <c r="C1646" s="34"/>
      <c r="D1646" s="34"/>
      <c r="E1646" s="35"/>
    </row>
    <row r="1647" spans="2:5" x14ac:dyDescent="0.25">
      <c r="C1647" s="34"/>
      <c r="D1647" s="34"/>
      <c r="E1647" s="35"/>
    </row>
    <row r="1648" spans="2:5" x14ac:dyDescent="0.25">
      <c r="C1648" s="34"/>
      <c r="D1648" s="34"/>
      <c r="E1648" s="35"/>
    </row>
    <row r="1649" spans="3:5" x14ac:dyDescent="0.25">
      <c r="C1649" s="34"/>
      <c r="D1649" s="34"/>
      <c r="E1649" s="35"/>
    </row>
    <row r="1650" spans="3:5" x14ac:dyDescent="0.25">
      <c r="C1650" s="34"/>
      <c r="D1650" s="34"/>
      <c r="E1650" s="35"/>
    </row>
    <row r="1651" spans="3:5" x14ac:dyDescent="0.25">
      <c r="C1651" s="34"/>
      <c r="D1651" s="34"/>
      <c r="E1651" s="35"/>
    </row>
    <row r="1652" spans="3:5" x14ac:dyDescent="0.25">
      <c r="C1652" s="34"/>
      <c r="D1652" s="34"/>
      <c r="E1652" s="35"/>
    </row>
    <row r="1653" spans="3:5" x14ac:dyDescent="0.25">
      <c r="C1653" s="34"/>
      <c r="D1653" s="34"/>
      <c r="E1653" s="35"/>
    </row>
    <row r="1654" spans="3:5" x14ac:dyDescent="0.25">
      <c r="C1654" s="34"/>
      <c r="D1654" s="34"/>
      <c r="E1654" s="35"/>
    </row>
    <row r="1655" spans="3:5" x14ac:dyDescent="0.25">
      <c r="C1655" s="34"/>
      <c r="D1655" s="34"/>
      <c r="E1655" s="35"/>
    </row>
    <row r="1656" spans="3:5" x14ac:dyDescent="0.25">
      <c r="C1656" s="34"/>
      <c r="D1656" s="34"/>
      <c r="E1656" s="35"/>
    </row>
    <row r="1657" spans="3:5" x14ac:dyDescent="0.25">
      <c r="C1657" s="34"/>
      <c r="D1657" s="34"/>
      <c r="E1657" s="35"/>
    </row>
    <row r="1658" spans="3:5" x14ac:dyDescent="0.25">
      <c r="C1658" s="34"/>
      <c r="D1658" s="34"/>
      <c r="E1658" s="35"/>
    </row>
    <row r="1659" spans="3:5" x14ac:dyDescent="0.25">
      <c r="C1659" s="34"/>
      <c r="D1659" s="34"/>
      <c r="E1659" s="35"/>
    </row>
    <row r="1660" spans="3:5" x14ac:dyDescent="0.25">
      <c r="C1660" s="34"/>
      <c r="D1660" s="34"/>
      <c r="E1660" s="35"/>
    </row>
    <row r="1661" spans="3:5" x14ac:dyDescent="0.25">
      <c r="C1661" s="34"/>
      <c r="D1661" s="34"/>
      <c r="E1661" s="35"/>
    </row>
    <row r="1662" spans="3:5" x14ac:dyDescent="0.25">
      <c r="C1662" s="34"/>
      <c r="D1662" s="34"/>
      <c r="E1662" s="35"/>
    </row>
    <row r="1663" spans="3:5" x14ac:dyDescent="0.25">
      <c r="C1663" s="34"/>
      <c r="D1663" s="34"/>
      <c r="E1663" s="35"/>
    </row>
    <row r="1664" spans="3:5" x14ac:dyDescent="0.25">
      <c r="C1664" s="34"/>
      <c r="D1664" s="34"/>
      <c r="E1664" s="35"/>
    </row>
    <row r="1665" spans="3:5" x14ac:dyDescent="0.25">
      <c r="C1665" s="34"/>
      <c r="D1665" s="34"/>
      <c r="E1665" s="35"/>
    </row>
    <row r="1666" spans="3:5" x14ac:dyDescent="0.25">
      <c r="C1666" s="34"/>
      <c r="D1666" s="34"/>
      <c r="E1666" s="35"/>
    </row>
    <row r="1667" spans="3:5" x14ac:dyDescent="0.25">
      <c r="C1667" s="34"/>
      <c r="D1667" s="34"/>
      <c r="E1667" s="35"/>
    </row>
    <row r="1668" spans="3:5" x14ac:dyDescent="0.25">
      <c r="C1668" s="34"/>
      <c r="D1668" s="34"/>
      <c r="E1668" s="35"/>
    </row>
    <row r="1669" spans="3:5" x14ac:dyDescent="0.25">
      <c r="C1669" s="34"/>
      <c r="D1669" s="34"/>
      <c r="E1669" s="35"/>
    </row>
    <row r="1670" spans="3:5" x14ac:dyDescent="0.25">
      <c r="C1670" s="34"/>
      <c r="D1670" s="34"/>
      <c r="E1670" s="35"/>
    </row>
    <row r="1671" spans="3:5" x14ac:dyDescent="0.25">
      <c r="C1671" s="34"/>
      <c r="D1671" s="34"/>
      <c r="E1671" s="35"/>
    </row>
    <row r="1672" spans="3:5" x14ac:dyDescent="0.25">
      <c r="C1672" s="34"/>
      <c r="D1672" s="34"/>
      <c r="E1672" s="35"/>
    </row>
    <row r="1673" spans="3:5" x14ac:dyDescent="0.25">
      <c r="C1673" s="34"/>
      <c r="D1673" s="34"/>
      <c r="E1673" s="35"/>
    </row>
    <row r="1674" spans="3:5" x14ac:dyDescent="0.25">
      <c r="C1674" s="34"/>
      <c r="D1674" s="34"/>
      <c r="E1674" s="35"/>
    </row>
    <row r="1675" spans="3:5" x14ac:dyDescent="0.25">
      <c r="C1675" s="34"/>
      <c r="D1675" s="34"/>
      <c r="E1675" s="35"/>
    </row>
    <row r="1676" spans="3:5" x14ac:dyDescent="0.25">
      <c r="C1676" s="34"/>
      <c r="D1676" s="34"/>
      <c r="E1676" s="35"/>
    </row>
    <row r="1677" spans="3:5" x14ac:dyDescent="0.25">
      <c r="C1677" s="34"/>
      <c r="D1677" s="34"/>
      <c r="E1677" s="35"/>
    </row>
    <row r="1678" spans="3:5" x14ac:dyDescent="0.25">
      <c r="C1678" s="34"/>
      <c r="D1678" s="34"/>
      <c r="E1678" s="35"/>
    </row>
    <row r="1679" spans="3:5" x14ac:dyDescent="0.25">
      <c r="C1679" s="34"/>
      <c r="D1679" s="34"/>
      <c r="E1679" s="35"/>
    </row>
    <row r="1680" spans="3:5" x14ac:dyDescent="0.25">
      <c r="C1680" s="34"/>
      <c r="D1680" s="34"/>
      <c r="E1680" s="35"/>
    </row>
    <row r="1681" spans="3:5" x14ac:dyDescent="0.25">
      <c r="C1681" s="34"/>
      <c r="D1681" s="34"/>
      <c r="E1681" s="35"/>
    </row>
    <row r="1682" spans="3:5" x14ac:dyDescent="0.25">
      <c r="C1682" s="34"/>
      <c r="D1682" s="34"/>
      <c r="E1682" s="35"/>
    </row>
    <row r="1683" spans="3:5" x14ac:dyDescent="0.25">
      <c r="C1683" s="34"/>
      <c r="D1683" s="34"/>
      <c r="E1683" s="35"/>
    </row>
    <row r="1684" spans="3:5" x14ac:dyDescent="0.25">
      <c r="C1684" s="34"/>
      <c r="D1684" s="34"/>
      <c r="E1684" s="35"/>
    </row>
    <row r="1685" spans="3:5" x14ac:dyDescent="0.25">
      <c r="C1685" s="34"/>
      <c r="D1685" s="34"/>
      <c r="E1685" s="35"/>
    </row>
    <row r="1686" spans="3:5" x14ac:dyDescent="0.25">
      <c r="C1686" s="34"/>
      <c r="D1686" s="34"/>
      <c r="E1686" s="35"/>
    </row>
    <row r="1687" spans="3:5" x14ac:dyDescent="0.25">
      <c r="C1687" s="34"/>
      <c r="D1687" s="34"/>
      <c r="E1687" s="35"/>
    </row>
    <row r="1688" spans="3:5" x14ac:dyDescent="0.25">
      <c r="C1688" s="34"/>
      <c r="D1688" s="34"/>
      <c r="E1688" s="35"/>
    </row>
    <row r="1689" spans="3:5" x14ac:dyDescent="0.25">
      <c r="C1689" s="34"/>
      <c r="D1689" s="34"/>
      <c r="E1689" s="35"/>
    </row>
    <row r="1690" spans="3:5" x14ac:dyDescent="0.25">
      <c r="C1690" s="34"/>
      <c r="D1690" s="34"/>
      <c r="E1690" s="35"/>
    </row>
    <row r="1691" spans="3:5" x14ac:dyDescent="0.25">
      <c r="C1691" s="34"/>
      <c r="D1691" s="34"/>
      <c r="E1691" s="35"/>
    </row>
    <row r="1692" spans="3:5" x14ac:dyDescent="0.25">
      <c r="C1692" s="34"/>
      <c r="D1692" s="34"/>
      <c r="E1692" s="35"/>
    </row>
    <row r="1693" spans="3:5" x14ac:dyDescent="0.25">
      <c r="C1693" s="34"/>
      <c r="D1693" s="34"/>
      <c r="E1693" s="35"/>
    </row>
    <row r="1694" spans="3:5" x14ac:dyDescent="0.25">
      <c r="C1694" s="34"/>
      <c r="D1694" s="34"/>
      <c r="E1694" s="35"/>
    </row>
    <row r="1695" spans="3:5" x14ac:dyDescent="0.25">
      <c r="C1695" s="34"/>
      <c r="D1695" s="34"/>
      <c r="E1695" s="35"/>
    </row>
    <row r="1696" spans="3:5" x14ac:dyDescent="0.25">
      <c r="C1696" s="34"/>
      <c r="D1696" s="34"/>
      <c r="E1696" s="35"/>
    </row>
    <row r="1697" spans="3:5" x14ac:dyDescent="0.25">
      <c r="C1697" s="34"/>
      <c r="D1697" s="34"/>
      <c r="E1697" s="35"/>
    </row>
    <row r="1698" spans="3:5" x14ac:dyDescent="0.25">
      <c r="C1698" s="34"/>
      <c r="D1698" s="34"/>
      <c r="E1698" s="35"/>
    </row>
    <row r="1699" spans="3:5" x14ac:dyDescent="0.25">
      <c r="C1699" s="34"/>
      <c r="D1699" s="34"/>
      <c r="E1699" s="35"/>
    </row>
    <row r="1700" spans="3:5" x14ac:dyDescent="0.25">
      <c r="C1700" s="34"/>
      <c r="D1700" s="34"/>
      <c r="E1700" s="35"/>
    </row>
    <row r="1701" spans="3:5" x14ac:dyDescent="0.25">
      <c r="C1701" s="34"/>
      <c r="D1701" s="34"/>
      <c r="E1701" s="35"/>
    </row>
    <row r="1702" spans="3:5" x14ac:dyDescent="0.25">
      <c r="C1702" s="34"/>
      <c r="D1702" s="34"/>
      <c r="E1702" s="35"/>
    </row>
    <row r="1703" spans="3:5" x14ac:dyDescent="0.25">
      <c r="C1703" s="34"/>
      <c r="D1703" s="34"/>
      <c r="E1703" s="35"/>
    </row>
    <row r="1704" spans="3:5" x14ac:dyDescent="0.25">
      <c r="C1704" s="34"/>
      <c r="D1704" s="34"/>
      <c r="E1704" s="35"/>
    </row>
    <row r="1705" spans="3:5" x14ac:dyDescent="0.25">
      <c r="C1705" s="34"/>
      <c r="D1705" s="34"/>
      <c r="E1705" s="35"/>
    </row>
    <row r="1706" spans="3:5" x14ac:dyDescent="0.25">
      <c r="C1706" s="34"/>
      <c r="D1706" s="34"/>
      <c r="E1706" s="35"/>
    </row>
    <row r="1707" spans="3:5" x14ac:dyDescent="0.25">
      <c r="C1707" s="34"/>
      <c r="D1707" s="34"/>
      <c r="E1707" s="35"/>
    </row>
    <row r="1708" spans="3:5" x14ac:dyDescent="0.25">
      <c r="C1708" s="34"/>
      <c r="D1708" s="34"/>
      <c r="E1708" s="35"/>
    </row>
    <row r="1709" spans="3:5" x14ac:dyDescent="0.25">
      <c r="C1709" s="34"/>
      <c r="D1709" s="34"/>
      <c r="E1709" s="35"/>
    </row>
    <row r="1710" spans="3:5" x14ac:dyDescent="0.25">
      <c r="C1710" s="34"/>
      <c r="D1710" s="34"/>
      <c r="E1710" s="35"/>
    </row>
    <row r="1711" spans="3:5" x14ac:dyDescent="0.25">
      <c r="C1711" s="34"/>
      <c r="D1711" s="34"/>
      <c r="E1711" s="35"/>
    </row>
    <row r="1712" spans="3:5" x14ac:dyDescent="0.25">
      <c r="C1712" s="34"/>
      <c r="D1712" s="34"/>
      <c r="E1712" s="35"/>
    </row>
    <row r="1713" spans="2:5" x14ac:dyDescent="0.25">
      <c r="C1713" s="34"/>
      <c r="D1713" s="34"/>
      <c r="E1713" s="35"/>
    </row>
    <row r="1714" spans="2:5" x14ac:dyDescent="0.25">
      <c r="C1714" s="34"/>
      <c r="D1714" s="34"/>
      <c r="E1714" s="35"/>
    </row>
    <row r="1715" spans="2:5" x14ac:dyDescent="0.25">
      <c r="C1715" s="34"/>
      <c r="D1715" s="34"/>
      <c r="E1715" s="35"/>
    </row>
    <row r="1716" spans="2:5" x14ac:dyDescent="0.25">
      <c r="C1716" s="34"/>
      <c r="D1716" s="34"/>
      <c r="E1716" s="35"/>
    </row>
    <row r="1717" spans="2:5" x14ac:dyDescent="0.25">
      <c r="C1717" s="34"/>
      <c r="D1717" s="34"/>
      <c r="E1717" s="35"/>
    </row>
    <row r="1718" spans="2:5" x14ac:dyDescent="0.25">
      <c r="C1718" s="34"/>
      <c r="D1718" s="34"/>
      <c r="E1718" s="35"/>
    </row>
    <row r="1719" spans="2:5" x14ac:dyDescent="0.25">
      <c r="C1719" s="34"/>
      <c r="D1719" s="34"/>
      <c r="E1719" s="35"/>
    </row>
    <row r="1720" spans="2:5" x14ac:dyDescent="0.25">
      <c r="C1720" s="34"/>
      <c r="D1720" s="34"/>
      <c r="E1720" s="35"/>
    </row>
    <row r="1721" spans="2:5" x14ac:dyDescent="0.25">
      <c r="C1721" s="34"/>
      <c r="D1721" s="34"/>
      <c r="E1721" s="35"/>
    </row>
    <row r="1722" spans="2:5" x14ac:dyDescent="0.25">
      <c r="C1722" s="34"/>
      <c r="D1722" s="34"/>
      <c r="E1722" s="35"/>
    </row>
    <row r="1723" spans="2:5" x14ac:dyDescent="0.25">
      <c r="C1723" s="34"/>
      <c r="D1723" s="34"/>
      <c r="E1723" s="35"/>
    </row>
    <row r="1724" spans="2:5" x14ac:dyDescent="0.25">
      <c r="C1724" s="34"/>
      <c r="D1724" s="34"/>
      <c r="E1724" s="35"/>
    </row>
    <row r="1725" spans="2:5" x14ac:dyDescent="0.25">
      <c r="C1725" s="34"/>
      <c r="D1725" s="34"/>
      <c r="E1725" s="35"/>
    </row>
    <row r="1726" spans="2:5" x14ac:dyDescent="0.25">
      <c r="C1726" s="34"/>
      <c r="D1726" s="34"/>
      <c r="E1726" s="35"/>
    </row>
    <row r="1727" spans="2:5" x14ac:dyDescent="0.25">
      <c r="C1727" s="34"/>
      <c r="D1727" s="34"/>
      <c r="E1727" s="35"/>
    </row>
    <row r="1728" spans="2:5" x14ac:dyDescent="0.25">
      <c r="B1728" s="34"/>
      <c r="C1728" s="34"/>
      <c r="D1728" s="34"/>
      <c r="E1728" s="34"/>
    </row>
    <row r="1729" spans="2:5" x14ac:dyDescent="0.25">
      <c r="B1729" s="34"/>
      <c r="C1729" s="34"/>
      <c r="D1729" s="34"/>
      <c r="E1729" s="34"/>
    </row>
    <row r="1730" spans="2:5" x14ac:dyDescent="0.25">
      <c r="C1730" s="34"/>
      <c r="D1730" s="34"/>
      <c r="E1730" s="35"/>
    </row>
    <row r="1731" spans="2:5" x14ac:dyDescent="0.25">
      <c r="C1731" s="34"/>
      <c r="D1731" s="34"/>
      <c r="E1731" s="35"/>
    </row>
    <row r="1732" spans="2:5" x14ac:dyDescent="0.25">
      <c r="C1732" s="34"/>
      <c r="D1732" s="34"/>
      <c r="E1732" s="35"/>
    </row>
    <row r="1733" spans="2:5" x14ac:dyDescent="0.25">
      <c r="C1733" s="34"/>
      <c r="D1733" s="34"/>
      <c r="E1733" s="35"/>
    </row>
    <row r="1734" spans="2:5" x14ac:dyDescent="0.25">
      <c r="C1734" s="34"/>
      <c r="D1734" s="34"/>
      <c r="E1734" s="35"/>
    </row>
    <row r="1735" spans="2:5" x14ac:dyDescent="0.25">
      <c r="C1735" s="34"/>
      <c r="D1735" s="34"/>
      <c r="E1735" s="35"/>
    </row>
    <row r="1736" spans="2:5" x14ac:dyDescent="0.25">
      <c r="C1736" s="34"/>
      <c r="D1736" s="34"/>
      <c r="E1736" s="35"/>
    </row>
    <row r="1737" spans="2:5" x14ac:dyDescent="0.25">
      <c r="C1737" s="34"/>
      <c r="D1737" s="34"/>
      <c r="E1737" s="35"/>
    </row>
    <row r="1738" spans="2:5" x14ac:dyDescent="0.25">
      <c r="C1738" s="34"/>
      <c r="D1738" s="34"/>
      <c r="E1738" s="35"/>
    </row>
    <row r="1739" spans="2:5" x14ac:dyDescent="0.25">
      <c r="C1739" s="34"/>
      <c r="D1739" s="34"/>
      <c r="E1739" s="35"/>
    </row>
    <row r="1740" spans="2:5" x14ac:dyDescent="0.25">
      <c r="C1740" s="34"/>
      <c r="D1740" s="34"/>
      <c r="E1740" s="35"/>
    </row>
    <row r="1741" spans="2:5" x14ac:dyDescent="0.25">
      <c r="C1741" s="34"/>
      <c r="D1741" s="34"/>
      <c r="E1741" s="35"/>
    </row>
    <row r="1742" spans="2:5" x14ac:dyDescent="0.25">
      <c r="B1742" s="34"/>
      <c r="C1742" s="34"/>
      <c r="D1742" s="34"/>
      <c r="E1742" s="34"/>
    </row>
    <row r="1743" spans="2:5" x14ac:dyDescent="0.25">
      <c r="C1743" s="34"/>
      <c r="D1743" s="34"/>
      <c r="E1743" s="35"/>
    </row>
    <row r="1744" spans="2:5" x14ac:dyDescent="0.25">
      <c r="C1744" s="34"/>
      <c r="D1744" s="34"/>
      <c r="E1744" s="35"/>
    </row>
    <row r="1745" spans="2:5" x14ac:dyDescent="0.25">
      <c r="C1745" s="34"/>
      <c r="D1745" s="34"/>
      <c r="E1745" s="35"/>
    </row>
    <row r="1746" spans="2:5" x14ac:dyDescent="0.25">
      <c r="C1746" s="34"/>
      <c r="D1746" s="34"/>
      <c r="E1746" s="35"/>
    </row>
    <row r="1747" spans="2:5" x14ac:dyDescent="0.25">
      <c r="C1747" s="34"/>
      <c r="D1747" s="34"/>
      <c r="E1747" s="35"/>
    </row>
    <row r="1748" spans="2:5" x14ac:dyDescent="0.25">
      <c r="C1748" s="34"/>
      <c r="D1748" s="34"/>
      <c r="E1748" s="35"/>
    </row>
    <row r="1749" spans="2:5" x14ac:dyDescent="0.25">
      <c r="C1749" s="34"/>
      <c r="D1749" s="34"/>
      <c r="E1749" s="35"/>
    </row>
    <row r="1750" spans="2:5" x14ac:dyDescent="0.25">
      <c r="C1750" s="34"/>
      <c r="D1750" s="34"/>
      <c r="E1750" s="35"/>
    </row>
    <row r="1751" spans="2:5" x14ac:dyDescent="0.25">
      <c r="B1751" s="34"/>
      <c r="C1751" s="34"/>
      <c r="D1751" s="34"/>
      <c r="E1751" s="34"/>
    </row>
    <row r="1752" spans="2:5" x14ac:dyDescent="0.25">
      <c r="C1752" s="34"/>
      <c r="D1752" s="34"/>
      <c r="E1752" s="35"/>
    </row>
    <row r="1753" spans="2:5" x14ac:dyDescent="0.25">
      <c r="C1753" s="34"/>
      <c r="D1753" s="34"/>
      <c r="E1753" s="35"/>
    </row>
    <row r="1754" spans="2:5" x14ac:dyDescent="0.25">
      <c r="C1754" s="34"/>
      <c r="D1754" s="34"/>
      <c r="E1754" s="35"/>
    </row>
    <row r="1755" spans="2:5" x14ac:dyDescent="0.25">
      <c r="C1755" s="34"/>
      <c r="D1755" s="34"/>
      <c r="E1755" s="35"/>
    </row>
    <row r="1756" spans="2:5" x14ac:dyDescent="0.25">
      <c r="C1756" s="34"/>
      <c r="D1756" s="34"/>
      <c r="E1756" s="35"/>
    </row>
    <row r="1757" spans="2:5" x14ac:dyDescent="0.25">
      <c r="C1757" s="34"/>
      <c r="D1757" s="34"/>
      <c r="E1757" s="35"/>
    </row>
    <row r="1758" spans="2:5" x14ac:dyDescent="0.25">
      <c r="C1758" s="34"/>
      <c r="D1758" s="34"/>
      <c r="E1758" s="35"/>
    </row>
    <row r="1759" spans="2:5" x14ac:dyDescent="0.25">
      <c r="C1759" s="34"/>
      <c r="D1759" s="34"/>
      <c r="E1759" s="35"/>
    </row>
    <row r="1760" spans="2:5" x14ac:dyDescent="0.25">
      <c r="C1760" s="34"/>
      <c r="D1760" s="34"/>
      <c r="E1760" s="35"/>
    </row>
    <row r="1761" spans="3:5" x14ac:dyDescent="0.25">
      <c r="C1761" s="34"/>
      <c r="D1761" s="34"/>
      <c r="E1761" s="35"/>
    </row>
    <row r="1762" spans="3:5" x14ac:dyDescent="0.25">
      <c r="C1762" s="34"/>
      <c r="D1762" s="34"/>
      <c r="E1762" s="35"/>
    </row>
    <row r="1763" spans="3:5" x14ac:dyDescent="0.25">
      <c r="C1763" s="34"/>
      <c r="D1763" s="34"/>
      <c r="E1763" s="35"/>
    </row>
    <row r="1764" spans="3:5" x14ac:dyDescent="0.25">
      <c r="C1764" s="34"/>
      <c r="D1764" s="34"/>
      <c r="E1764" s="35"/>
    </row>
    <row r="1765" spans="3:5" x14ac:dyDescent="0.25">
      <c r="C1765" s="34"/>
      <c r="D1765" s="34"/>
      <c r="E1765" s="35"/>
    </row>
    <row r="1766" spans="3:5" x14ac:dyDescent="0.25">
      <c r="C1766" s="34"/>
      <c r="D1766" s="34"/>
      <c r="E1766" s="35"/>
    </row>
    <row r="1767" spans="3:5" x14ac:dyDescent="0.25">
      <c r="C1767" s="34"/>
      <c r="D1767" s="34"/>
      <c r="E1767" s="35"/>
    </row>
    <row r="1768" spans="3:5" x14ac:dyDescent="0.25">
      <c r="C1768" s="34"/>
      <c r="D1768" s="34"/>
      <c r="E1768" s="35"/>
    </row>
    <row r="1769" spans="3:5" x14ac:dyDescent="0.25">
      <c r="C1769" s="34"/>
      <c r="D1769" s="34"/>
      <c r="E1769" s="35"/>
    </row>
    <row r="1770" spans="3:5" x14ac:dyDescent="0.25">
      <c r="C1770" s="34"/>
      <c r="D1770" s="34"/>
      <c r="E1770" s="35"/>
    </row>
    <row r="1771" spans="3:5" x14ac:dyDescent="0.25">
      <c r="C1771" s="34"/>
      <c r="D1771" s="34"/>
      <c r="E1771" s="35"/>
    </row>
    <row r="1772" spans="3:5" x14ac:dyDescent="0.25">
      <c r="C1772" s="34"/>
      <c r="D1772" s="34"/>
      <c r="E1772" s="35"/>
    </row>
    <row r="1773" spans="3:5" x14ac:dyDescent="0.25">
      <c r="C1773" s="34"/>
      <c r="D1773" s="34"/>
      <c r="E1773" s="35"/>
    </row>
    <row r="1774" spans="3:5" x14ac:dyDescent="0.25">
      <c r="C1774" s="34"/>
      <c r="D1774" s="34"/>
      <c r="E1774" s="35"/>
    </row>
    <row r="1775" spans="3:5" x14ac:dyDescent="0.25">
      <c r="C1775" s="34"/>
      <c r="D1775" s="34"/>
      <c r="E1775" s="35"/>
    </row>
    <row r="1776" spans="3:5" x14ac:dyDescent="0.25">
      <c r="C1776" s="34"/>
      <c r="D1776" s="34"/>
      <c r="E1776" s="35"/>
    </row>
    <row r="1777" spans="3:5" x14ac:dyDescent="0.25">
      <c r="C1777" s="34"/>
      <c r="D1777" s="34"/>
      <c r="E1777" s="35"/>
    </row>
    <row r="1778" spans="3:5" x14ac:dyDescent="0.25">
      <c r="C1778" s="34"/>
      <c r="D1778" s="34"/>
      <c r="E1778" s="35"/>
    </row>
    <row r="1779" spans="3:5" x14ac:dyDescent="0.25">
      <c r="C1779" s="34"/>
      <c r="D1779" s="34"/>
      <c r="E1779" s="35"/>
    </row>
    <row r="1780" spans="3:5" x14ac:dyDescent="0.25">
      <c r="C1780" s="34"/>
      <c r="D1780" s="34"/>
      <c r="E1780" s="35"/>
    </row>
    <row r="1781" spans="3:5" x14ac:dyDescent="0.25">
      <c r="C1781" s="34"/>
      <c r="D1781" s="34"/>
      <c r="E1781" s="35"/>
    </row>
    <row r="1782" spans="3:5" x14ac:dyDescent="0.25">
      <c r="C1782" s="34"/>
      <c r="D1782" s="34"/>
      <c r="E1782" s="35"/>
    </row>
    <row r="1783" spans="3:5" x14ac:dyDescent="0.25">
      <c r="C1783" s="34"/>
      <c r="D1783" s="34"/>
      <c r="E1783" s="35"/>
    </row>
    <row r="1784" spans="3:5" x14ac:dyDescent="0.25">
      <c r="C1784" s="34"/>
      <c r="D1784" s="34"/>
      <c r="E1784" s="35"/>
    </row>
    <row r="1785" spans="3:5" x14ac:dyDescent="0.25">
      <c r="C1785" s="34"/>
      <c r="D1785" s="34"/>
      <c r="E1785" s="35"/>
    </row>
    <row r="1786" spans="3:5" x14ac:dyDescent="0.25">
      <c r="C1786" s="34"/>
      <c r="D1786" s="34"/>
      <c r="E1786" s="35"/>
    </row>
    <row r="1787" spans="3:5" x14ac:dyDescent="0.25">
      <c r="C1787" s="34"/>
      <c r="D1787" s="34"/>
      <c r="E1787" s="35"/>
    </row>
    <row r="1788" spans="3:5" x14ac:dyDescent="0.25">
      <c r="C1788" s="34"/>
      <c r="D1788" s="34"/>
      <c r="E1788" s="35"/>
    </row>
    <row r="1789" spans="3:5" x14ac:dyDescent="0.25">
      <c r="C1789" s="34"/>
      <c r="D1789" s="34"/>
      <c r="E1789" s="35"/>
    </row>
    <row r="1790" spans="3:5" x14ac:dyDescent="0.25">
      <c r="C1790" s="34"/>
      <c r="D1790" s="34"/>
      <c r="E1790" s="35"/>
    </row>
    <row r="1791" spans="3:5" x14ac:dyDescent="0.25">
      <c r="C1791" s="34"/>
      <c r="D1791" s="34"/>
      <c r="E1791" s="35"/>
    </row>
    <row r="1792" spans="3:5" x14ac:dyDescent="0.25">
      <c r="C1792" s="34"/>
      <c r="D1792" s="34"/>
      <c r="E1792" s="35"/>
    </row>
    <row r="1793" spans="2:5" x14ac:dyDescent="0.25">
      <c r="C1793" s="34"/>
      <c r="D1793" s="34"/>
      <c r="E1793" s="35"/>
    </row>
    <row r="1794" spans="2:5" x14ac:dyDescent="0.25">
      <c r="C1794" s="34"/>
      <c r="D1794" s="34"/>
      <c r="E1794" s="35"/>
    </row>
    <row r="1795" spans="2:5" x14ac:dyDescent="0.25">
      <c r="C1795" s="34"/>
      <c r="D1795" s="34"/>
      <c r="E1795" s="35"/>
    </row>
    <row r="1796" spans="2:5" x14ac:dyDescent="0.25">
      <c r="C1796" s="34"/>
      <c r="D1796" s="34"/>
      <c r="E1796" s="35"/>
    </row>
    <row r="1797" spans="2:5" x14ac:dyDescent="0.25">
      <c r="C1797" s="34"/>
      <c r="D1797" s="34"/>
      <c r="E1797" s="35"/>
    </row>
    <row r="1798" spans="2:5" x14ac:dyDescent="0.25">
      <c r="C1798" s="34"/>
      <c r="D1798" s="34"/>
      <c r="E1798" s="35"/>
    </row>
    <row r="1799" spans="2:5" x14ac:dyDescent="0.25">
      <c r="C1799" s="34"/>
      <c r="D1799" s="34"/>
      <c r="E1799" s="35"/>
    </row>
    <row r="1800" spans="2:5" x14ac:dyDescent="0.25">
      <c r="B1800" s="34"/>
      <c r="C1800" s="34"/>
      <c r="D1800" s="34"/>
      <c r="E1800" s="34"/>
    </row>
    <row r="1801" spans="2:5" x14ac:dyDescent="0.25">
      <c r="C1801" s="34"/>
      <c r="D1801" s="34"/>
      <c r="E1801" s="35"/>
    </row>
    <row r="1802" spans="2:5" x14ac:dyDescent="0.25">
      <c r="C1802" s="34"/>
      <c r="D1802" s="34"/>
      <c r="E1802" s="35"/>
    </row>
    <row r="1803" spans="2:5" x14ac:dyDescent="0.25">
      <c r="C1803" s="34"/>
      <c r="D1803" s="34"/>
      <c r="E1803" s="35"/>
    </row>
    <row r="1804" spans="2:5" x14ac:dyDescent="0.25">
      <c r="C1804" s="34"/>
      <c r="D1804" s="34"/>
      <c r="E1804" s="35"/>
    </row>
    <row r="1805" spans="2:5" x14ac:dyDescent="0.25">
      <c r="C1805" s="34"/>
      <c r="D1805" s="34"/>
      <c r="E1805" s="35"/>
    </row>
    <row r="1806" spans="2:5" x14ac:dyDescent="0.25">
      <c r="C1806" s="34"/>
      <c r="D1806" s="34"/>
      <c r="E1806" s="35"/>
    </row>
    <row r="1807" spans="2:5" x14ac:dyDescent="0.25">
      <c r="C1807" s="34"/>
      <c r="D1807" s="34"/>
      <c r="E1807" s="35"/>
    </row>
    <row r="1808" spans="2:5" x14ac:dyDescent="0.25">
      <c r="C1808" s="34"/>
      <c r="D1808" s="34"/>
      <c r="E1808" s="35"/>
    </row>
    <row r="1809" spans="2:5" x14ac:dyDescent="0.25">
      <c r="C1809" s="34"/>
      <c r="D1809" s="34"/>
      <c r="E1809" s="35"/>
    </row>
    <row r="1810" spans="2:5" x14ac:dyDescent="0.25">
      <c r="B1810" s="34"/>
      <c r="C1810" s="34"/>
      <c r="D1810" s="34"/>
      <c r="E1810" s="34"/>
    </row>
    <row r="1811" spans="2:5" x14ac:dyDescent="0.25">
      <c r="C1811" s="34"/>
      <c r="D1811" s="34"/>
      <c r="E1811" s="35"/>
    </row>
    <row r="1812" spans="2:5" x14ac:dyDescent="0.25">
      <c r="C1812" s="34"/>
      <c r="D1812" s="34"/>
      <c r="E1812" s="35"/>
    </row>
    <row r="1813" spans="2:5" x14ac:dyDescent="0.25">
      <c r="C1813" s="34"/>
      <c r="D1813" s="34"/>
      <c r="E1813" s="35"/>
    </row>
    <row r="1814" spans="2:5" x14ac:dyDescent="0.25">
      <c r="B1814" s="34"/>
      <c r="C1814" s="34"/>
      <c r="D1814" s="34"/>
      <c r="E1814" s="34"/>
    </row>
    <row r="1815" spans="2:5" x14ac:dyDescent="0.25">
      <c r="C1815" s="34"/>
      <c r="D1815" s="34"/>
      <c r="E1815" s="35"/>
    </row>
    <row r="1816" spans="2:5" x14ac:dyDescent="0.25">
      <c r="B1816" s="34"/>
      <c r="C1816" s="34"/>
      <c r="D1816" s="34"/>
      <c r="E1816" s="34"/>
    </row>
    <row r="1817" spans="2:5" x14ac:dyDescent="0.25">
      <c r="C1817" s="34"/>
      <c r="D1817" s="34"/>
      <c r="E1817" s="35"/>
    </row>
    <row r="1818" spans="2:5" x14ac:dyDescent="0.25">
      <c r="C1818" s="34"/>
      <c r="D1818" s="34"/>
      <c r="E1818" s="35"/>
    </row>
    <row r="1819" spans="2:5" x14ac:dyDescent="0.25">
      <c r="C1819" s="34"/>
      <c r="D1819" s="34"/>
      <c r="E1819" s="35"/>
    </row>
    <row r="1820" spans="2:5" x14ac:dyDescent="0.25">
      <c r="C1820" s="34"/>
      <c r="D1820" s="34"/>
      <c r="E1820" s="35"/>
    </row>
    <row r="1821" spans="2:5" x14ac:dyDescent="0.25">
      <c r="C1821" s="34"/>
      <c r="D1821" s="34"/>
      <c r="E1821" s="35"/>
    </row>
    <row r="1822" spans="2:5" x14ac:dyDescent="0.25">
      <c r="C1822" s="34"/>
      <c r="D1822" s="34"/>
      <c r="E1822" s="35"/>
    </row>
    <row r="1823" spans="2:5" x14ac:dyDescent="0.25">
      <c r="C1823" s="34"/>
      <c r="D1823" s="34"/>
      <c r="E1823" s="35"/>
    </row>
    <row r="1824" spans="2:5" x14ac:dyDescent="0.25">
      <c r="C1824" s="34"/>
      <c r="D1824" s="34"/>
      <c r="E1824" s="35"/>
    </row>
    <row r="1825" spans="2:5" x14ac:dyDescent="0.25">
      <c r="C1825" s="34"/>
      <c r="D1825" s="34"/>
      <c r="E1825" s="35"/>
    </row>
    <row r="1826" spans="2:5" x14ac:dyDescent="0.25">
      <c r="C1826" s="34"/>
      <c r="D1826" s="34"/>
      <c r="E1826" s="35"/>
    </row>
    <row r="1827" spans="2:5" x14ac:dyDescent="0.25">
      <c r="C1827" s="34"/>
      <c r="D1827" s="34"/>
      <c r="E1827" s="35"/>
    </row>
    <row r="1828" spans="2:5" x14ac:dyDescent="0.25">
      <c r="C1828" s="34"/>
      <c r="D1828" s="34"/>
      <c r="E1828" s="35"/>
    </row>
    <row r="1829" spans="2:5" x14ac:dyDescent="0.25">
      <c r="C1829" s="34"/>
      <c r="D1829" s="34"/>
      <c r="E1829" s="35"/>
    </row>
    <row r="1830" spans="2:5" x14ac:dyDescent="0.25">
      <c r="B1830" s="34"/>
      <c r="C1830" s="34"/>
      <c r="D1830" s="34"/>
      <c r="E1830" s="34"/>
    </row>
    <row r="1831" spans="2:5" x14ac:dyDescent="0.25">
      <c r="C1831" s="34"/>
      <c r="D1831" s="34"/>
      <c r="E1831" s="35"/>
    </row>
    <row r="1832" spans="2:5" x14ac:dyDescent="0.25">
      <c r="C1832" s="34"/>
      <c r="D1832" s="34"/>
      <c r="E1832" s="35"/>
    </row>
    <row r="1833" spans="2:5" x14ac:dyDescent="0.25">
      <c r="C1833" s="34"/>
      <c r="D1833" s="34"/>
      <c r="E1833" s="35"/>
    </row>
    <row r="1834" spans="2:5" x14ac:dyDescent="0.25">
      <c r="C1834" s="34"/>
      <c r="D1834" s="34"/>
      <c r="E1834" s="35"/>
    </row>
    <row r="1835" spans="2:5" x14ac:dyDescent="0.25">
      <c r="C1835" s="34"/>
      <c r="D1835" s="34"/>
      <c r="E1835" s="35"/>
    </row>
    <row r="1836" spans="2:5" x14ac:dyDescent="0.25">
      <c r="B1836" s="34"/>
      <c r="C1836" s="34"/>
      <c r="D1836" s="34"/>
      <c r="E1836" s="34"/>
    </row>
    <row r="1837" spans="2:5" x14ac:dyDescent="0.25">
      <c r="C1837" s="34"/>
      <c r="D1837" s="34"/>
      <c r="E1837" s="35"/>
    </row>
    <row r="1838" spans="2:5" x14ac:dyDescent="0.25">
      <c r="C1838" s="34"/>
      <c r="D1838" s="34"/>
      <c r="E1838" s="35"/>
    </row>
    <row r="1839" spans="2:5" x14ac:dyDescent="0.25">
      <c r="C1839" s="34"/>
      <c r="D1839" s="34"/>
      <c r="E1839" s="35"/>
    </row>
    <row r="1840" spans="2:5" x14ac:dyDescent="0.25">
      <c r="C1840" s="34"/>
      <c r="D1840" s="34"/>
      <c r="E1840" s="35"/>
    </row>
    <row r="1841" spans="3:5" x14ac:dyDescent="0.25">
      <c r="C1841" s="34"/>
      <c r="D1841" s="34"/>
      <c r="E1841" s="35"/>
    </row>
    <row r="1842" spans="3:5" x14ac:dyDescent="0.25">
      <c r="C1842" s="34"/>
      <c r="D1842" s="34"/>
      <c r="E1842" s="35"/>
    </row>
    <row r="1843" spans="3:5" x14ac:dyDescent="0.25">
      <c r="C1843" s="34"/>
      <c r="D1843" s="34"/>
      <c r="E1843" s="35"/>
    </row>
    <row r="1844" spans="3:5" x14ac:dyDescent="0.25">
      <c r="C1844" s="34"/>
      <c r="D1844" s="34"/>
      <c r="E1844" s="35"/>
    </row>
    <row r="1845" spans="3:5" x14ac:dyDescent="0.25">
      <c r="C1845" s="34"/>
      <c r="D1845" s="34"/>
      <c r="E1845" s="35"/>
    </row>
    <row r="1846" spans="3:5" x14ac:dyDescent="0.25">
      <c r="C1846" s="34"/>
      <c r="D1846" s="34"/>
      <c r="E1846" s="35"/>
    </row>
    <row r="1847" spans="3:5" x14ac:dyDescent="0.25">
      <c r="C1847" s="34"/>
      <c r="D1847" s="34"/>
      <c r="E1847" s="35"/>
    </row>
    <row r="1848" spans="3:5" x14ac:dyDescent="0.25">
      <c r="C1848" s="34"/>
      <c r="D1848" s="34"/>
      <c r="E1848" s="35"/>
    </row>
    <row r="1849" spans="3:5" x14ac:dyDescent="0.25">
      <c r="C1849" s="34"/>
      <c r="D1849" s="34"/>
      <c r="E1849" s="35"/>
    </row>
    <row r="1850" spans="3:5" x14ac:dyDescent="0.25">
      <c r="C1850" s="34"/>
      <c r="D1850" s="34"/>
      <c r="E1850" s="35"/>
    </row>
    <row r="1851" spans="3:5" x14ac:dyDescent="0.25">
      <c r="C1851" s="34"/>
      <c r="D1851" s="34"/>
      <c r="E1851" s="35"/>
    </row>
    <row r="1852" spans="3:5" x14ac:dyDescent="0.25">
      <c r="C1852" s="34"/>
      <c r="D1852" s="34"/>
      <c r="E1852" s="35"/>
    </row>
    <row r="1853" spans="3:5" x14ac:dyDescent="0.25">
      <c r="C1853" s="34"/>
      <c r="D1853" s="34"/>
      <c r="E1853" s="35"/>
    </row>
    <row r="1854" spans="3:5" x14ac:dyDescent="0.25">
      <c r="C1854" s="34"/>
      <c r="D1854" s="34"/>
      <c r="E1854" s="35"/>
    </row>
    <row r="1855" spans="3:5" x14ac:dyDescent="0.25">
      <c r="C1855" s="34"/>
      <c r="D1855" s="34"/>
      <c r="E1855" s="35"/>
    </row>
    <row r="1856" spans="3:5" x14ac:dyDescent="0.25">
      <c r="C1856" s="34"/>
      <c r="D1856" s="34"/>
      <c r="E1856" s="35"/>
    </row>
    <row r="1857" spans="3:5" x14ac:dyDescent="0.25">
      <c r="C1857" s="34"/>
      <c r="D1857" s="34"/>
      <c r="E1857" s="35"/>
    </row>
    <row r="1858" spans="3:5" x14ac:dyDescent="0.25">
      <c r="C1858" s="34"/>
      <c r="D1858" s="34"/>
      <c r="E1858" s="35"/>
    </row>
    <row r="1859" spans="3:5" x14ac:dyDescent="0.25">
      <c r="C1859" s="34"/>
      <c r="D1859" s="34"/>
      <c r="E1859" s="35"/>
    </row>
    <row r="1860" spans="3:5" x14ac:dyDescent="0.25">
      <c r="C1860" s="34"/>
      <c r="D1860" s="34"/>
      <c r="E1860" s="35"/>
    </row>
    <row r="1861" spans="3:5" x14ac:dyDescent="0.25">
      <c r="C1861" s="34"/>
      <c r="D1861" s="34"/>
      <c r="E1861" s="35"/>
    </row>
    <row r="1862" spans="3:5" x14ac:dyDescent="0.25">
      <c r="C1862" s="34"/>
      <c r="D1862" s="34"/>
      <c r="E1862" s="35"/>
    </row>
    <row r="1863" spans="3:5" x14ac:dyDescent="0.25">
      <c r="C1863" s="34"/>
      <c r="D1863" s="34"/>
      <c r="E1863" s="35"/>
    </row>
    <row r="1864" spans="3:5" x14ac:dyDescent="0.25">
      <c r="C1864" s="34"/>
      <c r="D1864" s="34"/>
      <c r="E1864" s="35"/>
    </row>
    <row r="1865" spans="3:5" x14ac:dyDescent="0.25">
      <c r="C1865" s="34"/>
      <c r="D1865" s="34"/>
      <c r="E1865" s="35"/>
    </row>
    <row r="1866" spans="3:5" x14ac:dyDescent="0.25">
      <c r="C1866" s="34"/>
      <c r="D1866" s="34"/>
      <c r="E1866" s="35"/>
    </row>
    <row r="1867" spans="3:5" x14ac:dyDescent="0.25">
      <c r="C1867" s="34"/>
      <c r="D1867" s="34"/>
      <c r="E1867" s="35"/>
    </row>
    <row r="1868" spans="3:5" x14ac:dyDescent="0.25">
      <c r="C1868" s="34"/>
      <c r="D1868" s="34"/>
      <c r="E1868" s="35"/>
    </row>
    <row r="1869" spans="3:5" x14ac:dyDescent="0.25">
      <c r="C1869" s="34"/>
      <c r="D1869" s="34"/>
      <c r="E1869" s="35"/>
    </row>
    <row r="1870" spans="3:5" x14ac:dyDescent="0.25">
      <c r="C1870" s="34"/>
      <c r="D1870" s="34"/>
      <c r="E1870" s="35"/>
    </row>
    <row r="1871" spans="3:5" x14ac:dyDescent="0.25">
      <c r="C1871" s="34"/>
      <c r="D1871" s="34"/>
      <c r="E1871" s="35"/>
    </row>
    <row r="1872" spans="3:5" x14ac:dyDescent="0.25">
      <c r="C1872" s="34"/>
      <c r="D1872" s="34"/>
      <c r="E1872" s="35"/>
    </row>
    <row r="1873" spans="3:5" x14ac:dyDescent="0.25">
      <c r="C1873" s="34"/>
      <c r="D1873" s="34"/>
      <c r="E1873" s="35"/>
    </row>
    <row r="1874" spans="3:5" x14ac:dyDescent="0.25">
      <c r="C1874" s="34"/>
      <c r="D1874" s="34"/>
      <c r="E1874" s="35"/>
    </row>
    <row r="1875" spans="3:5" x14ac:dyDescent="0.25">
      <c r="C1875" s="34"/>
      <c r="D1875" s="34"/>
      <c r="E1875" s="35"/>
    </row>
    <row r="1876" spans="3:5" x14ac:dyDescent="0.25">
      <c r="C1876" s="34"/>
      <c r="D1876" s="34"/>
      <c r="E1876" s="35"/>
    </row>
    <row r="1877" spans="3:5" x14ac:dyDescent="0.25">
      <c r="C1877" s="34"/>
      <c r="D1877" s="34"/>
      <c r="E1877" s="35"/>
    </row>
    <row r="1878" spans="3:5" x14ac:dyDescent="0.25">
      <c r="C1878" s="34"/>
      <c r="D1878" s="34"/>
      <c r="E1878" s="35"/>
    </row>
    <row r="1879" spans="3:5" x14ac:dyDescent="0.25">
      <c r="C1879" s="34"/>
      <c r="D1879" s="34"/>
      <c r="E1879" s="35"/>
    </row>
    <row r="1880" spans="3:5" x14ac:dyDescent="0.25">
      <c r="C1880" s="34"/>
      <c r="D1880" s="34"/>
      <c r="E1880" s="35"/>
    </row>
    <row r="1881" spans="3:5" x14ac:dyDescent="0.25">
      <c r="C1881" s="34"/>
      <c r="D1881" s="34"/>
      <c r="E1881" s="35"/>
    </row>
    <row r="1882" spans="3:5" x14ac:dyDescent="0.25">
      <c r="C1882" s="34"/>
      <c r="D1882" s="34"/>
      <c r="E1882" s="35"/>
    </row>
    <row r="1883" spans="3:5" x14ac:dyDescent="0.25">
      <c r="C1883" s="34"/>
      <c r="D1883" s="34"/>
      <c r="E1883" s="35"/>
    </row>
    <row r="1884" spans="3:5" x14ac:dyDescent="0.25">
      <c r="C1884" s="34"/>
      <c r="D1884" s="34"/>
      <c r="E1884" s="35"/>
    </row>
    <row r="1885" spans="3:5" x14ac:dyDescent="0.25">
      <c r="C1885" s="34"/>
      <c r="D1885" s="34"/>
      <c r="E1885" s="35"/>
    </row>
    <row r="1886" spans="3:5" x14ac:dyDescent="0.25">
      <c r="C1886" s="34"/>
      <c r="D1886" s="34"/>
      <c r="E1886" s="35"/>
    </row>
    <row r="1887" spans="3:5" x14ac:dyDescent="0.25">
      <c r="C1887" s="34"/>
      <c r="D1887" s="34"/>
      <c r="E1887" s="35"/>
    </row>
    <row r="1888" spans="3:5" x14ac:dyDescent="0.25">
      <c r="C1888" s="34"/>
      <c r="D1888" s="34"/>
      <c r="E1888" s="35"/>
    </row>
    <row r="1889" spans="2:5" x14ac:dyDescent="0.25">
      <c r="C1889" s="34"/>
      <c r="D1889" s="34"/>
      <c r="E1889" s="35"/>
    </row>
    <row r="1890" spans="2:5" x14ac:dyDescent="0.25">
      <c r="C1890" s="34"/>
      <c r="D1890" s="34"/>
      <c r="E1890" s="35"/>
    </row>
    <row r="1891" spans="2:5" x14ac:dyDescent="0.25">
      <c r="C1891" s="34"/>
      <c r="D1891" s="34"/>
      <c r="E1891" s="35"/>
    </row>
    <row r="1892" spans="2:5" x14ac:dyDescent="0.25">
      <c r="C1892" s="34"/>
      <c r="D1892" s="34"/>
      <c r="E1892" s="35"/>
    </row>
    <row r="1893" spans="2:5" x14ac:dyDescent="0.25">
      <c r="C1893" s="34"/>
      <c r="D1893" s="34"/>
      <c r="E1893" s="35"/>
    </row>
    <row r="1894" spans="2:5" x14ac:dyDescent="0.25">
      <c r="C1894" s="34"/>
      <c r="D1894" s="34"/>
      <c r="E1894" s="35"/>
    </row>
    <row r="1895" spans="2:5" x14ac:dyDescent="0.25">
      <c r="B1895" s="34"/>
      <c r="C1895" s="34"/>
      <c r="D1895" s="34"/>
      <c r="E1895" s="34"/>
    </row>
    <row r="1896" spans="2:5" x14ac:dyDescent="0.25">
      <c r="C1896" s="34"/>
      <c r="D1896" s="34"/>
      <c r="E1896" s="35"/>
    </row>
    <row r="1897" spans="2:5" x14ac:dyDescent="0.25">
      <c r="C1897" s="34"/>
      <c r="D1897" s="34"/>
      <c r="E1897" s="35"/>
    </row>
    <row r="1898" spans="2:5" x14ac:dyDescent="0.25">
      <c r="C1898" s="34"/>
      <c r="D1898" s="34"/>
      <c r="E1898" s="35"/>
    </row>
    <row r="1899" spans="2:5" x14ac:dyDescent="0.25">
      <c r="C1899" s="34"/>
      <c r="D1899" s="34"/>
      <c r="E1899" s="35"/>
    </row>
    <row r="1900" spans="2:5" x14ac:dyDescent="0.25">
      <c r="C1900" s="34"/>
      <c r="D1900" s="34"/>
      <c r="E1900" s="35"/>
    </row>
    <row r="1901" spans="2:5" x14ac:dyDescent="0.25">
      <c r="C1901" s="34"/>
      <c r="D1901" s="34"/>
      <c r="E1901" s="35"/>
    </row>
    <row r="1902" spans="2:5" x14ac:dyDescent="0.25">
      <c r="C1902" s="34"/>
      <c r="D1902" s="34"/>
      <c r="E1902" s="35"/>
    </row>
    <row r="1903" spans="2:5" x14ac:dyDescent="0.25">
      <c r="C1903" s="34"/>
      <c r="D1903" s="34"/>
      <c r="E1903" s="35"/>
    </row>
    <row r="1904" spans="2:5" x14ac:dyDescent="0.25">
      <c r="C1904" s="34"/>
      <c r="D1904" s="34"/>
      <c r="E1904" s="35"/>
    </row>
    <row r="1905" spans="2:5" x14ac:dyDescent="0.25">
      <c r="C1905" s="34"/>
      <c r="D1905" s="34"/>
      <c r="E1905" s="35"/>
    </row>
    <row r="1906" spans="2:5" x14ac:dyDescent="0.25">
      <c r="C1906" s="34"/>
      <c r="D1906" s="34"/>
      <c r="E1906" s="35"/>
    </row>
    <row r="1907" spans="2:5" x14ac:dyDescent="0.25">
      <c r="C1907" s="34"/>
      <c r="D1907" s="34"/>
      <c r="E1907" s="35"/>
    </row>
    <row r="1908" spans="2:5" x14ac:dyDescent="0.25">
      <c r="C1908" s="34"/>
      <c r="D1908" s="34"/>
      <c r="E1908" s="35"/>
    </row>
    <row r="1909" spans="2:5" x14ac:dyDescent="0.25">
      <c r="C1909" s="34"/>
      <c r="D1909" s="34"/>
      <c r="E1909" s="35"/>
    </row>
    <row r="1910" spans="2:5" x14ac:dyDescent="0.25">
      <c r="C1910" s="34"/>
      <c r="D1910" s="34"/>
      <c r="E1910" s="35"/>
    </row>
    <row r="1911" spans="2:5" x14ac:dyDescent="0.25">
      <c r="C1911" s="34"/>
      <c r="D1911" s="34"/>
      <c r="E1911" s="35"/>
    </row>
    <row r="1912" spans="2:5" x14ac:dyDescent="0.25">
      <c r="C1912" s="34"/>
      <c r="D1912" s="34"/>
      <c r="E1912" s="35"/>
    </row>
    <row r="1913" spans="2:5" x14ac:dyDescent="0.25">
      <c r="C1913" s="34"/>
      <c r="D1913" s="34"/>
      <c r="E1913" s="35"/>
    </row>
    <row r="1914" spans="2:5" x14ac:dyDescent="0.25">
      <c r="C1914" s="34"/>
      <c r="D1914" s="34"/>
      <c r="E1914" s="35"/>
    </row>
    <row r="1915" spans="2:5" x14ac:dyDescent="0.25">
      <c r="C1915" s="34"/>
      <c r="D1915" s="34"/>
      <c r="E1915" s="35"/>
    </row>
    <row r="1916" spans="2:5" x14ac:dyDescent="0.25">
      <c r="C1916" s="34"/>
      <c r="D1916" s="34"/>
      <c r="E1916" s="35"/>
    </row>
    <row r="1917" spans="2:5" x14ac:dyDescent="0.25">
      <c r="B1917" s="34"/>
      <c r="C1917" s="34"/>
      <c r="D1917" s="34"/>
      <c r="E1917" s="34"/>
    </row>
    <row r="1918" spans="2:5" x14ac:dyDescent="0.25">
      <c r="B1918" s="34"/>
      <c r="C1918" s="34"/>
      <c r="D1918" s="34"/>
      <c r="E1918" s="34"/>
    </row>
    <row r="1919" spans="2:5" x14ac:dyDescent="0.25">
      <c r="B1919" s="34"/>
      <c r="C1919" s="34"/>
      <c r="D1919" s="34"/>
      <c r="E1919" s="34"/>
    </row>
    <row r="1920" spans="2:5" x14ac:dyDescent="0.25">
      <c r="C1920" s="34"/>
      <c r="D1920" s="34"/>
      <c r="E1920" s="35"/>
    </row>
    <row r="1921" spans="2:5" x14ac:dyDescent="0.25">
      <c r="C1921" s="34"/>
      <c r="D1921" s="34"/>
      <c r="E1921" s="35"/>
    </row>
    <row r="1922" spans="2:5" x14ac:dyDescent="0.25">
      <c r="C1922" s="34"/>
      <c r="D1922" s="34"/>
      <c r="E1922" s="35"/>
    </row>
    <row r="1923" spans="2:5" x14ac:dyDescent="0.25">
      <c r="C1923" s="34"/>
      <c r="D1923" s="34"/>
      <c r="E1923" s="35"/>
    </row>
    <row r="1924" spans="2:5" x14ac:dyDescent="0.25">
      <c r="B1924" s="34"/>
      <c r="C1924" s="34"/>
      <c r="D1924" s="34"/>
      <c r="E1924" s="34"/>
    </row>
    <row r="1925" spans="2:5" x14ac:dyDescent="0.25">
      <c r="C1925" s="34"/>
      <c r="D1925" s="34"/>
      <c r="E1925" s="35"/>
    </row>
    <row r="1926" spans="2:5" x14ac:dyDescent="0.25">
      <c r="C1926" s="34"/>
      <c r="D1926" s="34"/>
      <c r="E1926" s="35"/>
    </row>
    <row r="1927" spans="2:5" x14ac:dyDescent="0.25">
      <c r="C1927" s="34"/>
      <c r="D1927" s="34"/>
      <c r="E1927" s="35"/>
    </row>
    <row r="1928" spans="2:5" x14ac:dyDescent="0.25">
      <c r="C1928" s="34"/>
      <c r="D1928" s="34"/>
      <c r="E1928" s="35"/>
    </row>
    <row r="1929" spans="2:5" x14ac:dyDescent="0.25">
      <c r="C1929" s="34"/>
      <c r="D1929" s="34"/>
      <c r="E1929" s="35"/>
    </row>
    <row r="1930" spans="2:5" x14ac:dyDescent="0.25">
      <c r="C1930" s="34"/>
      <c r="D1930" s="34"/>
      <c r="E1930" s="35"/>
    </row>
    <row r="1931" spans="2:5" x14ac:dyDescent="0.25">
      <c r="C1931" s="34"/>
      <c r="D1931" s="34"/>
      <c r="E1931" s="35"/>
    </row>
    <row r="1932" spans="2:5" x14ac:dyDescent="0.25">
      <c r="C1932" s="34"/>
      <c r="D1932" s="34"/>
      <c r="E1932" s="35"/>
    </row>
    <row r="1933" spans="2:5" x14ac:dyDescent="0.25">
      <c r="C1933" s="34"/>
      <c r="D1933" s="34"/>
      <c r="E1933" s="35"/>
    </row>
    <row r="1934" spans="2:5" x14ac:dyDescent="0.25">
      <c r="C1934" s="34"/>
      <c r="D1934" s="34"/>
      <c r="E1934" s="35"/>
    </row>
    <row r="1935" spans="2:5" x14ac:dyDescent="0.25">
      <c r="B1935" s="34"/>
      <c r="C1935" s="34"/>
      <c r="D1935" s="34"/>
      <c r="E1935" s="34"/>
    </row>
    <row r="1936" spans="2:5" x14ac:dyDescent="0.25">
      <c r="C1936" s="34"/>
      <c r="D1936" s="34"/>
      <c r="E1936" s="35"/>
    </row>
    <row r="1937" spans="2:5" x14ac:dyDescent="0.25">
      <c r="C1937" s="34"/>
      <c r="D1937" s="34"/>
      <c r="E1937" s="35"/>
    </row>
    <row r="1938" spans="2:5" x14ac:dyDescent="0.25">
      <c r="C1938" s="34"/>
      <c r="D1938" s="34"/>
      <c r="E1938" s="35"/>
    </row>
    <row r="1939" spans="2:5" x14ac:dyDescent="0.25">
      <c r="B1939" s="34"/>
      <c r="C1939" s="34"/>
      <c r="D1939" s="34"/>
      <c r="E1939" s="34"/>
    </row>
    <row r="1940" spans="2:5" x14ac:dyDescent="0.25">
      <c r="C1940" s="34"/>
      <c r="D1940" s="34"/>
      <c r="E1940" s="35"/>
    </row>
    <row r="1941" spans="2:5" x14ac:dyDescent="0.25">
      <c r="C1941" s="34"/>
      <c r="D1941" s="34"/>
      <c r="E1941" s="35"/>
    </row>
    <row r="1942" spans="2:5" x14ac:dyDescent="0.25">
      <c r="C1942" s="34"/>
      <c r="D1942" s="34"/>
      <c r="E1942" s="35"/>
    </row>
    <row r="1943" spans="2:5" x14ac:dyDescent="0.25">
      <c r="C1943" s="34"/>
      <c r="D1943" s="34"/>
      <c r="E1943" s="35"/>
    </row>
    <row r="1944" spans="2:5" x14ac:dyDescent="0.25">
      <c r="C1944" s="34"/>
      <c r="D1944" s="34"/>
      <c r="E1944" s="35"/>
    </row>
    <row r="1945" spans="2:5" x14ac:dyDescent="0.25">
      <c r="C1945" s="34"/>
      <c r="D1945" s="34"/>
      <c r="E1945" s="35"/>
    </row>
    <row r="1946" spans="2:5" x14ac:dyDescent="0.25">
      <c r="C1946" s="34"/>
      <c r="D1946" s="34"/>
      <c r="E1946" s="35"/>
    </row>
    <row r="1947" spans="2:5" x14ac:dyDescent="0.25">
      <c r="B1947" s="34"/>
      <c r="C1947" s="34"/>
      <c r="D1947" s="34"/>
      <c r="E1947" s="34"/>
    </row>
    <row r="1948" spans="2:5" x14ac:dyDescent="0.25">
      <c r="C1948" s="34"/>
      <c r="D1948" s="34"/>
      <c r="E1948" s="35"/>
    </row>
    <row r="1949" spans="2:5" x14ac:dyDescent="0.25">
      <c r="C1949" s="34"/>
      <c r="D1949" s="34"/>
      <c r="E1949" s="35"/>
    </row>
    <row r="1950" spans="2:5" x14ac:dyDescent="0.25">
      <c r="C1950" s="34"/>
      <c r="D1950" s="34"/>
      <c r="E1950" s="35"/>
    </row>
    <row r="1951" spans="2:5" x14ac:dyDescent="0.25">
      <c r="C1951" s="34"/>
      <c r="D1951" s="34"/>
      <c r="E1951" s="35"/>
    </row>
    <row r="1952" spans="2:5" x14ac:dyDescent="0.25">
      <c r="C1952" s="34"/>
      <c r="D1952" s="34"/>
      <c r="E1952" s="35"/>
    </row>
    <row r="1953" spans="2:5" x14ac:dyDescent="0.25">
      <c r="C1953" s="34"/>
      <c r="D1953" s="34"/>
      <c r="E1953" s="35"/>
    </row>
    <row r="1954" spans="2:5" x14ac:dyDescent="0.25">
      <c r="C1954" s="34"/>
      <c r="D1954" s="34"/>
      <c r="E1954" s="35"/>
    </row>
    <row r="1955" spans="2:5" x14ac:dyDescent="0.25">
      <c r="C1955" s="34"/>
      <c r="D1955" s="34"/>
      <c r="E1955" s="35"/>
    </row>
    <row r="1956" spans="2:5" x14ac:dyDescent="0.25">
      <c r="C1956" s="34"/>
      <c r="D1956" s="34"/>
      <c r="E1956" s="35"/>
    </row>
    <row r="1957" spans="2:5" x14ac:dyDescent="0.25">
      <c r="C1957" s="34"/>
      <c r="D1957" s="34"/>
      <c r="E1957" s="35"/>
    </row>
    <row r="1958" spans="2:5" x14ac:dyDescent="0.25">
      <c r="C1958" s="34"/>
      <c r="D1958" s="34"/>
      <c r="E1958" s="35"/>
    </row>
    <row r="1959" spans="2:5" x14ac:dyDescent="0.25">
      <c r="C1959" s="34"/>
      <c r="D1959" s="34"/>
      <c r="E1959" s="35"/>
    </row>
    <row r="1960" spans="2:5" x14ac:dyDescent="0.25">
      <c r="C1960" s="34"/>
      <c r="D1960" s="34"/>
      <c r="E1960" s="35"/>
    </row>
    <row r="1961" spans="2:5" x14ac:dyDescent="0.25">
      <c r="C1961" s="34"/>
      <c r="D1961" s="34"/>
      <c r="E1961" s="35"/>
    </row>
    <row r="1962" spans="2:5" x14ac:dyDescent="0.25">
      <c r="C1962" s="34"/>
      <c r="D1962" s="34"/>
      <c r="E1962" s="35"/>
    </row>
    <row r="1963" spans="2:5" x14ac:dyDescent="0.25">
      <c r="B1963" s="34"/>
      <c r="C1963" s="34"/>
      <c r="D1963" s="34"/>
      <c r="E1963" s="34"/>
    </row>
    <row r="1964" spans="2:5" x14ac:dyDescent="0.25">
      <c r="C1964" s="34"/>
      <c r="D1964" s="34"/>
      <c r="E1964" s="35"/>
    </row>
    <row r="1965" spans="2:5" x14ac:dyDescent="0.25">
      <c r="C1965" s="34"/>
      <c r="D1965" s="34"/>
      <c r="E1965" s="35"/>
    </row>
    <row r="1966" spans="2:5" x14ac:dyDescent="0.25">
      <c r="B1966" s="34"/>
      <c r="C1966" s="34"/>
      <c r="D1966" s="34"/>
      <c r="E1966" s="34"/>
    </row>
    <row r="1967" spans="2:5" x14ac:dyDescent="0.25">
      <c r="C1967" s="34"/>
      <c r="D1967" s="34"/>
      <c r="E1967" s="35"/>
    </row>
    <row r="1968" spans="2:5" x14ac:dyDescent="0.25">
      <c r="C1968" s="34"/>
      <c r="D1968" s="34"/>
      <c r="E1968" s="35"/>
    </row>
    <row r="1969" spans="3:5" x14ac:dyDescent="0.25">
      <c r="C1969" s="34"/>
      <c r="D1969" s="34"/>
      <c r="E1969" s="35"/>
    </row>
    <row r="1970" spans="3:5" x14ac:dyDescent="0.25">
      <c r="C1970" s="34"/>
      <c r="D1970" s="34"/>
      <c r="E1970" s="35"/>
    </row>
    <row r="1971" spans="3:5" x14ac:dyDescent="0.25">
      <c r="C1971" s="34"/>
      <c r="D1971" s="34"/>
      <c r="E1971" s="35"/>
    </row>
    <row r="1972" spans="3:5" x14ac:dyDescent="0.25">
      <c r="C1972" s="34"/>
      <c r="D1972" s="34"/>
      <c r="E1972" s="35"/>
    </row>
    <row r="1973" spans="3:5" x14ac:dyDescent="0.25">
      <c r="C1973" s="34"/>
      <c r="D1973" s="34"/>
      <c r="E1973" s="35"/>
    </row>
    <row r="1974" spans="3:5" x14ac:dyDescent="0.25">
      <c r="C1974" s="34"/>
      <c r="D1974" s="34"/>
      <c r="E1974" s="35"/>
    </row>
    <row r="1975" spans="3:5" x14ac:dyDescent="0.25">
      <c r="C1975" s="34"/>
      <c r="D1975" s="34"/>
      <c r="E1975" s="35"/>
    </row>
    <row r="1976" spans="3:5" x14ac:dyDescent="0.25">
      <c r="C1976" s="34"/>
      <c r="D1976" s="34"/>
      <c r="E1976" s="35"/>
    </row>
    <row r="1977" spans="3:5" x14ac:dyDescent="0.25">
      <c r="C1977" s="34"/>
      <c r="D1977" s="34"/>
      <c r="E1977" s="35"/>
    </row>
    <row r="1978" spans="3:5" x14ac:dyDescent="0.25">
      <c r="C1978" s="34"/>
      <c r="D1978" s="34"/>
      <c r="E1978" s="35"/>
    </row>
    <row r="1979" spans="3:5" x14ac:dyDescent="0.25">
      <c r="C1979" s="34"/>
      <c r="D1979" s="34"/>
      <c r="E1979" s="35"/>
    </row>
    <row r="1980" spans="3:5" x14ac:dyDescent="0.25">
      <c r="C1980" s="34"/>
      <c r="D1980" s="34"/>
      <c r="E1980" s="35"/>
    </row>
    <row r="1981" spans="3:5" x14ac:dyDescent="0.25">
      <c r="C1981" s="34"/>
      <c r="D1981" s="34"/>
      <c r="E1981" s="35"/>
    </row>
    <row r="1982" spans="3:5" x14ac:dyDescent="0.25">
      <c r="C1982" s="34"/>
      <c r="D1982" s="34"/>
      <c r="E1982" s="35"/>
    </row>
    <row r="1983" spans="3:5" x14ac:dyDescent="0.25">
      <c r="C1983" s="34"/>
      <c r="D1983" s="34"/>
      <c r="E1983" s="35"/>
    </row>
    <row r="1984" spans="3:5" x14ac:dyDescent="0.25">
      <c r="C1984" s="34"/>
      <c r="D1984" s="34"/>
      <c r="E1984" s="35"/>
    </row>
    <row r="1985" spans="2:5" x14ac:dyDescent="0.25">
      <c r="C1985" s="34"/>
      <c r="D1985" s="34"/>
      <c r="E1985" s="35"/>
    </row>
    <row r="1986" spans="2:5" x14ac:dyDescent="0.25">
      <c r="C1986" s="34"/>
      <c r="D1986" s="34"/>
      <c r="E1986" s="35"/>
    </row>
    <row r="1987" spans="2:5" x14ac:dyDescent="0.25">
      <c r="C1987" s="34"/>
      <c r="D1987" s="34"/>
      <c r="E1987" s="35"/>
    </row>
    <row r="1988" spans="2:5" x14ac:dyDescent="0.25">
      <c r="C1988" s="34"/>
      <c r="D1988" s="34"/>
      <c r="E1988" s="35"/>
    </row>
    <row r="1989" spans="2:5" x14ac:dyDescent="0.25">
      <c r="C1989" s="34"/>
      <c r="D1989" s="34"/>
      <c r="E1989" s="35"/>
    </row>
    <row r="1990" spans="2:5" x14ac:dyDescent="0.25">
      <c r="C1990" s="34"/>
      <c r="D1990" s="34"/>
      <c r="E1990" s="35"/>
    </row>
    <row r="1991" spans="2:5" x14ac:dyDescent="0.25">
      <c r="C1991" s="34"/>
      <c r="D1991" s="34"/>
      <c r="E1991" s="35"/>
    </row>
    <row r="1992" spans="2:5" x14ac:dyDescent="0.25">
      <c r="C1992" s="34"/>
      <c r="D1992" s="34"/>
      <c r="E1992" s="35"/>
    </row>
    <row r="1993" spans="2:5" x14ac:dyDescent="0.25">
      <c r="C1993" s="34"/>
      <c r="D1993" s="34"/>
      <c r="E1993" s="35"/>
    </row>
    <row r="1994" spans="2:5" x14ac:dyDescent="0.25">
      <c r="C1994" s="34"/>
      <c r="D1994" s="34"/>
      <c r="E1994" s="35"/>
    </row>
    <row r="1995" spans="2:5" x14ac:dyDescent="0.25">
      <c r="B1995" s="34"/>
      <c r="C1995" s="34"/>
      <c r="D1995" s="34"/>
      <c r="E1995" s="34"/>
    </row>
    <row r="1996" spans="2:5" x14ac:dyDescent="0.25">
      <c r="C1996" s="34"/>
      <c r="D1996" s="34"/>
      <c r="E1996" s="35"/>
    </row>
    <row r="1997" spans="2:5" x14ac:dyDescent="0.25">
      <c r="B1997" s="34"/>
      <c r="C1997" s="34"/>
      <c r="D1997" s="34"/>
      <c r="E1997" s="34"/>
    </row>
    <row r="1998" spans="2:5" x14ac:dyDescent="0.25">
      <c r="C1998" s="34"/>
      <c r="D1998" s="34"/>
      <c r="E1998" s="35"/>
    </row>
    <row r="1999" spans="2:5" x14ac:dyDescent="0.25">
      <c r="C1999" s="34"/>
      <c r="D1999" s="34"/>
      <c r="E1999" s="35"/>
    </row>
    <row r="2000" spans="2:5" x14ac:dyDescent="0.25">
      <c r="C2000" s="34"/>
      <c r="D2000" s="34"/>
      <c r="E2000" s="35"/>
    </row>
    <row r="2001" spans="2:5" x14ac:dyDescent="0.25">
      <c r="C2001" s="34"/>
      <c r="D2001" s="34"/>
      <c r="E2001" s="35"/>
    </row>
    <row r="2002" spans="2:5" x14ac:dyDescent="0.25">
      <c r="C2002" s="34"/>
      <c r="D2002" s="34"/>
      <c r="E2002" s="35"/>
    </row>
    <row r="2003" spans="2:5" x14ac:dyDescent="0.25">
      <c r="C2003" s="34"/>
      <c r="D2003" s="34"/>
      <c r="E2003" s="35"/>
    </row>
    <row r="2004" spans="2:5" x14ac:dyDescent="0.25">
      <c r="C2004" s="34"/>
      <c r="D2004" s="34"/>
      <c r="E2004" s="35"/>
    </row>
    <row r="2005" spans="2:5" x14ac:dyDescent="0.25">
      <c r="C2005" s="34"/>
      <c r="D2005" s="34"/>
      <c r="E2005" s="35"/>
    </row>
    <row r="2006" spans="2:5" x14ac:dyDescent="0.25">
      <c r="C2006" s="34"/>
      <c r="D2006" s="34"/>
      <c r="E2006" s="35"/>
    </row>
    <row r="2007" spans="2:5" x14ac:dyDescent="0.25">
      <c r="C2007" s="34"/>
      <c r="D2007" s="34"/>
      <c r="E2007" s="35"/>
    </row>
    <row r="2008" spans="2:5" x14ac:dyDescent="0.25">
      <c r="C2008" s="34"/>
      <c r="D2008" s="34"/>
      <c r="E2008" s="35"/>
    </row>
    <row r="2009" spans="2:5" x14ac:dyDescent="0.25">
      <c r="B2009" s="34"/>
      <c r="C2009" s="34"/>
      <c r="D2009" s="34"/>
      <c r="E2009" s="34"/>
    </row>
    <row r="2010" spans="2:5" x14ac:dyDescent="0.25">
      <c r="C2010" s="34"/>
      <c r="D2010" s="34"/>
      <c r="E2010" s="35"/>
    </row>
    <row r="2011" spans="2:5" x14ac:dyDescent="0.25">
      <c r="B2011" s="34"/>
      <c r="C2011" s="34"/>
      <c r="D2011" s="34"/>
      <c r="E2011" s="34"/>
    </row>
    <row r="2012" spans="2:5" x14ac:dyDescent="0.25">
      <c r="B2012" s="34"/>
      <c r="C2012" s="34"/>
      <c r="D2012" s="34"/>
      <c r="E2012" s="34"/>
    </row>
    <row r="2013" spans="2:5" x14ac:dyDescent="0.25">
      <c r="C2013" s="34"/>
      <c r="D2013" s="34"/>
      <c r="E2013" s="35"/>
    </row>
    <row r="2014" spans="2:5" x14ac:dyDescent="0.25">
      <c r="C2014" s="34"/>
      <c r="D2014" s="34"/>
      <c r="E2014" s="35"/>
    </row>
    <row r="2015" spans="2:5" x14ac:dyDescent="0.25">
      <c r="C2015" s="34"/>
      <c r="D2015" s="34"/>
      <c r="E2015" s="35"/>
    </row>
    <row r="2016" spans="2:5" x14ac:dyDescent="0.25">
      <c r="C2016" s="34"/>
      <c r="D2016" s="34"/>
      <c r="E2016" s="35"/>
    </row>
    <row r="2017" spans="3:5" x14ac:dyDescent="0.25">
      <c r="C2017" s="34"/>
      <c r="D2017" s="34"/>
      <c r="E2017" s="35"/>
    </row>
    <row r="2018" spans="3:5" x14ac:dyDescent="0.25">
      <c r="C2018" s="34"/>
      <c r="D2018" s="34"/>
      <c r="E2018" s="35"/>
    </row>
    <row r="2019" spans="3:5" x14ac:dyDescent="0.25">
      <c r="C2019" s="34"/>
      <c r="D2019" s="34"/>
      <c r="E2019" s="35"/>
    </row>
    <row r="2020" spans="3:5" x14ac:dyDescent="0.25">
      <c r="C2020" s="34"/>
      <c r="D2020" s="34"/>
      <c r="E2020" s="35"/>
    </row>
    <row r="2021" spans="3:5" x14ac:dyDescent="0.25">
      <c r="C2021" s="34"/>
      <c r="D2021" s="34"/>
      <c r="E2021" s="35"/>
    </row>
    <row r="2022" spans="3:5" x14ac:dyDescent="0.25">
      <c r="C2022" s="34"/>
      <c r="D2022" s="34"/>
      <c r="E2022" s="35"/>
    </row>
    <row r="2023" spans="3:5" x14ac:dyDescent="0.25">
      <c r="C2023" s="34"/>
      <c r="D2023" s="34"/>
      <c r="E2023" s="35"/>
    </row>
    <row r="2024" spans="3:5" x14ac:dyDescent="0.25">
      <c r="C2024" s="34"/>
      <c r="D2024" s="34"/>
      <c r="E2024" s="35"/>
    </row>
    <row r="2025" spans="3:5" x14ac:dyDescent="0.25">
      <c r="C2025" s="34"/>
      <c r="D2025" s="34"/>
      <c r="E2025" s="35"/>
    </row>
    <row r="2026" spans="3:5" x14ac:dyDescent="0.25">
      <c r="C2026" s="34"/>
      <c r="D2026" s="34"/>
      <c r="E2026" s="35"/>
    </row>
    <row r="2027" spans="3:5" x14ac:dyDescent="0.25">
      <c r="C2027" s="34"/>
      <c r="D2027" s="34"/>
      <c r="E2027" s="35"/>
    </row>
    <row r="2028" spans="3:5" x14ac:dyDescent="0.25">
      <c r="C2028" s="34"/>
      <c r="D2028" s="34"/>
      <c r="E2028" s="35"/>
    </row>
    <row r="2029" spans="3:5" x14ac:dyDescent="0.25">
      <c r="C2029" s="34"/>
      <c r="D2029" s="34"/>
      <c r="E2029" s="35"/>
    </row>
    <row r="2030" spans="3:5" x14ac:dyDescent="0.25">
      <c r="C2030" s="34"/>
      <c r="D2030" s="34"/>
      <c r="E2030" s="35"/>
    </row>
    <row r="2031" spans="3:5" x14ac:dyDescent="0.25">
      <c r="C2031" s="34"/>
      <c r="D2031" s="34"/>
      <c r="E2031" s="35"/>
    </row>
    <row r="2032" spans="3:5" x14ac:dyDescent="0.25">
      <c r="C2032" s="34"/>
      <c r="D2032" s="34"/>
      <c r="E2032" s="35"/>
    </row>
    <row r="2033" spans="2:5" x14ac:dyDescent="0.25">
      <c r="C2033" s="34"/>
      <c r="D2033" s="34"/>
      <c r="E2033" s="35"/>
    </row>
    <row r="2034" spans="2:5" x14ac:dyDescent="0.25">
      <c r="C2034" s="34"/>
      <c r="D2034" s="34"/>
      <c r="E2034" s="35"/>
    </row>
    <row r="2035" spans="2:5" x14ac:dyDescent="0.25">
      <c r="C2035" s="34"/>
      <c r="D2035" s="34"/>
      <c r="E2035" s="35"/>
    </row>
    <row r="2036" spans="2:5" x14ac:dyDescent="0.25">
      <c r="C2036" s="34"/>
      <c r="D2036" s="34"/>
      <c r="E2036" s="35"/>
    </row>
    <row r="2037" spans="2:5" x14ac:dyDescent="0.25">
      <c r="C2037" s="34"/>
      <c r="D2037" s="34"/>
      <c r="E2037" s="35"/>
    </row>
    <row r="2038" spans="2:5" x14ac:dyDescent="0.25">
      <c r="C2038" s="34"/>
      <c r="D2038" s="34"/>
      <c r="E2038" s="35"/>
    </row>
    <row r="2039" spans="2:5" x14ac:dyDescent="0.25">
      <c r="B2039" s="34"/>
      <c r="C2039" s="34"/>
      <c r="D2039" s="34"/>
      <c r="E2039" s="34"/>
    </row>
    <row r="2040" spans="2:5" x14ac:dyDescent="0.25">
      <c r="C2040" s="34"/>
      <c r="D2040" s="34"/>
      <c r="E2040" s="35"/>
    </row>
    <row r="2041" spans="2:5" x14ac:dyDescent="0.25">
      <c r="C2041" s="34"/>
      <c r="D2041" s="34"/>
      <c r="E2041" s="35"/>
    </row>
    <row r="2042" spans="2:5" x14ac:dyDescent="0.25">
      <c r="C2042" s="34"/>
      <c r="D2042" s="34"/>
      <c r="E2042" s="35"/>
    </row>
    <row r="2043" spans="2:5" x14ac:dyDescent="0.25">
      <c r="C2043" s="34"/>
      <c r="D2043" s="34"/>
      <c r="E2043" s="35"/>
    </row>
    <row r="2044" spans="2:5" x14ac:dyDescent="0.25">
      <c r="B2044" s="34"/>
      <c r="C2044" s="34"/>
      <c r="D2044" s="34"/>
      <c r="E2044" s="34"/>
    </row>
    <row r="2045" spans="2:5" x14ac:dyDescent="0.25">
      <c r="C2045" s="34"/>
      <c r="D2045" s="34"/>
      <c r="E2045" s="35"/>
    </row>
    <row r="2046" spans="2:5" x14ac:dyDescent="0.25">
      <c r="C2046" s="34"/>
      <c r="D2046" s="34"/>
      <c r="E2046" s="35"/>
    </row>
    <row r="2047" spans="2:5" x14ac:dyDescent="0.25">
      <c r="C2047" s="34"/>
      <c r="D2047" s="34"/>
      <c r="E2047" s="35"/>
    </row>
    <row r="2048" spans="2:5" x14ac:dyDescent="0.25">
      <c r="C2048" s="34"/>
      <c r="D2048" s="34"/>
      <c r="E2048" s="35"/>
    </row>
    <row r="2049" spans="2:5" x14ac:dyDescent="0.25">
      <c r="C2049" s="34"/>
      <c r="D2049" s="34"/>
      <c r="E2049" s="35"/>
    </row>
    <row r="2050" spans="2:5" x14ac:dyDescent="0.25">
      <c r="C2050" s="34"/>
      <c r="D2050" s="34"/>
      <c r="E2050" s="35"/>
    </row>
    <row r="2051" spans="2:5" x14ac:dyDescent="0.25">
      <c r="C2051" s="34"/>
      <c r="D2051" s="34"/>
      <c r="E2051" s="35"/>
    </row>
    <row r="2052" spans="2:5" x14ac:dyDescent="0.25">
      <c r="C2052" s="34"/>
      <c r="D2052" s="34"/>
      <c r="E2052" s="35"/>
    </row>
    <row r="2053" spans="2:5" x14ac:dyDescent="0.25">
      <c r="C2053" s="34"/>
      <c r="D2053" s="34"/>
      <c r="E2053" s="35"/>
    </row>
    <row r="2054" spans="2:5" x14ac:dyDescent="0.25">
      <c r="B2054" s="34"/>
      <c r="C2054" s="34"/>
      <c r="D2054" s="34"/>
      <c r="E2054" s="34"/>
    </row>
    <row r="2055" spans="2:5" x14ac:dyDescent="0.25">
      <c r="C2055" s="34"/>
      <c r="D2055" s="34"/>
      <c r="E2055" s="35"/>
    </row>
    <row r="2056" spans="2:5" x14ac:dyDescent="0.25">
      <c r="C2056" s="34"/>
      <c r="D2056" s="34"/>
      <c r="E2056" s="35"/>
    </row>
    <row r="2057" spans="2:5" x14ac:dyDescent="0.25">
      <c r="C2057" s="34"/>
      <c r="D2057" s="34"/>
      <c r="E2057" s="35"/>
    </row>
    <row r="2058" spans="2:5" x14ac:dyDescent="0.25">
      <c r="C2058" s="34"/>
      <c r="D2058" s="34"/>
      <c r="E2058" s="35"/>
    </row>
    <row r="2059" spans="2:5" x14ac:dyDescent="0.25">
      <c r="C2059" s="34"/>
      <c r="D2059" s="34"/>
      <c r="E2059" s="35"/>
    </row>
    <row r="2060" spans="2:5" x14ac:dyDescent="0.25">
      <c r="C2060" s="34"/>
      <c r="D2060" s="34"/>
      <c r="E2060" s="35"/>
    </row>
    <row r="2061" spans="2:5" x14ac:dyDescent="0.25">
      <c r="C2061" s="34"/>
      <c r="D2061" s="34"/>
      <c r="E2061" s="35"/>
    </row>
    <row r="2062" spans="2:5" x14ac:dyDescent="0.25">
      <c r="C2062" s="34"/>
      <c r="D2062" s="34"/>
      <c r="E2062" s="35"/>
    </row>
    <row r="2063" spans="2:5" x14ac:dyDescent="0.25">
      <c r="C2063" s="34"/>
      <c r="D2063" s="34"/>
      <c r="E2063" s="35"/>
    </row>
    <row r="2064" spans="2:5" x14ac:dyDescent="0.25">
      <c r="C2064" s="34"/>
      <c r="D2064" s="34"/>
      <c r="E2064" s="35"/>
    </row>
    <row r="2065" spans="2:5" x14ac:dyDescent="0.25">
      <c r="C2065" s="34"/>
      <c r="D2065" s="34"/>
      <c r="E2065" s="35"/>
    </row>
    <row r="2066" spans="2:5" x14ac:dyDescent="0.25">
      <c r="C2066" s="34"/>
      <c r="D2066" s="34"/>
      <c r="E2066" s="35"/>
    </row>
    <row r="2067" spans="2:5" x14ac:dyDescent="0.25">
      <c r="C2067" s="34"/>
      <c r="D2067" s="34"/>
      <c r="E2067" s="35"/>
    </row>
    <row r="2068" spans="2:5" x14ac:dyDescent="0.25">
      <c r="C2068" s="34"/>
      <c r="D2068" s="34"/>
      <c r="E2068" s="35"/>
    </row>
    <row r="2069" spans="2:5" x14ac:dyDescent="0.25">
      <c r="C2069" s="34"/>
      <c r="D2069" s="34"/>
      <c r="E2069" s="35"/>
    </row>
    <row r="2070" spans="2:5" x14ac:dyDescent="0.25">
      <c r="B2070" s="34"/>
      <c r="C2070" s="34"/>
      <c r="D2070" s="34"/>
      <c r="E2070" s="34"/>
    </row>
    <row r="2071" spans="2:5" x14ac:dyDescent="0.25">
      <c r="B2071" s="34"/>
      <c r="C2071" s="34"/>
      <c r="D2071" s="34"/>
      <c r="E2071" s="34"/>
    </row>
    <row r="2072" spans="2:5" x14ac:dyDescent="0.25">
      <c r="C2072" s="34"/>
      <c r="D2072" s="34"/>
      <c r="E2072" s="35"/>
    </row>
    <row r="2073" spans="2:5" x14ac:dyDescent="0.25">
      <c r="C2073" s="34"/>
      <c r="D2073" s="34"/>
      <c r="E2073" s="35"/>
    </row>
    <row r="2074" spans="2:5" x14ac:dyDescent="0.25">
      <c r="C2074" s="34"/>
      <c r="D2074" s="34"/>
      <c r="E2074" s="35"/>
    </row>
    <row r="2075" spans="2:5" x14ac:dyDescent="0.25">
      <c r="C2075" s="34"/>
      <c r="D2075" s="34"/>
      <c r="E2075" s="35"/>
    </row>
    <row r="2076" spans="2:5" x14ac:dyDescent="0.25">
      <c r="C2076" s="34"/>
      <c r="D2076" s="34"/>
      <c r="E2076" s="35"/>
    </row>
    <row r="2077" spans="2:5" x14ac:dyDescent="0.25">
      <c r="C2077" s="34"/>
      <c r="D2077" s="34"/>
      <c r="E2077" s="35"/>
    </row>
    <row r="2078" spans="2:5" x14ac:dyDescent="0.25">
      <c r="B2078" s="34"/>
      <c r="C2078" s="34"/>
      <c r="D2078" s="34"/>
      <c r="E2078" s="34"/>
    </row>
    <row r="2079" spans="2:5" x14ac:dyDescent="0.25">
      <c r="C2079" s="34"/>
      <c r="D2079" s="34"/>
      <c r="E2079" s="35"/>
    </row>
    <row r="2080" spans="2:5" x14ac:dyDescent="0.25">
      <c r="C2080" s="34"/>
      <c r="D2080" s="34"/>
      <c r="E2080" s="35"/>
    </row>
    <row r="2081" spans="3:5" x14ac:dyDescent="0.25">
      <c r="C2081" s="34"/>
      <c r="D2081" s="34"/>
      <c r="E2081" s="35"/>
    </row>
    <row r="2082" spans="3:5" x14ac:dyDescent="0.25">
      <c r="C2082" s="34"/>
      <c r="D2082" s="34"/>
      <c r="E2082" s="35"/>
    </row>
    <row r="2083" spans="3:5" x14ac:dyDescent="0.25">
      <c r="C2083" s="34"/>
      <c r="D2083" s="34"/>
      <c r="E2083" s="35"/>
    </row>
    <row r="2084" spans="3:5" x14ac:dyDescent="0.25">
      <c r="C2084" s="34"/>
      <c r="D2084" s="34"/>
      <c r="E2084" s="35"/>
    </row>
    <row r="2085" spans="3:5" x14ac:dyDescent="0.25">
      <c r="C2085" s="34"/>
      <c r="D2085" s="34"/>
      <c r="E2085" s="35"/>
    </row>
    <row r="2086" spans="3:5" x14ac:dyDescent="0.25">
      <c r="C2086" s="34"/>
      <c r="D2086" s="34"/>
      <c r="E2086" s="35"/>
    </row>
    <row r="2087" spans="3:5" x14ac:dyDescent="0.25">
      <c r="C2087" s="34"/>
      <c r="D2087" s="34"/>
      <c r="E2087" s="35"/>
    </row>
    <row r="2088" spans="3:5" x14ac:dyDescent="0.25">
      <c r="C2088" s="34"/>
      <c r="D2088" s="34"/>
      <c r="E2088" s="35"/>
    </row>
    <row r="2089" spans="3:5" x14ac:dyDescent="0.25">
      <c r="C2089" s="34"/>
      <c r="D2089" s="34"/>
      <c r="E2089" s="35"/>
    </row>
    <row r="2090" spans="3:5" x14ac:dyDescent="0.25">
      <c r="C2090" s="34"/>
      <c r="D2090" s="34"/>
      <c r="E2090" s="35"/>
    </row>
    <row r="2091" spans="3:5" x14ac:dyDescent="0.25">
      <c r="C2091" s="34"/>
      <c r="D2091" s="34"/>
      <c r="E2091" s="35"/>
    </row>
    <row r="2092" spans="3:5" x14ac:dyDescent="0.25">
      <c r="C2092" s="34"/>
      <c r="D2092" s="34"/>
      <c r="E2092" s="35"/>
    </row>
    <row r="2093" spans="3:5" x14ac:dyDescent="0.25">
      <c r="C2093" s="34"/>
      <c r="D2093" s="34"/>
      <c r="E2093" s="35"/>
    </row>
    <row r="2094" spans="3:5" x14ac:dyDescent="0.25">
      <c r="C2094" s="34"/>
      <c r="D2094" s="34"/>
      <c r="E2094" s="35"/>
    </row>
    <row r="2095" spans="3:5" x14ac:dyDescent="0.25">
      <c r="C2095" s="34"/>
      <c r="D2095" s="34"/>
      <c r="E2095" s="35"/>
    </row>
    <row r="2096" spans="3:5" x14ac:dyDescent="0.25">
      <c r="C2096" s="34"/>
      <c r="D2096" s="34"/>
      <c r="E2096" s="35"/>
    </row>
    <row r="2097" spans="3:5" x14ac:dyDescent="0.25">
      <c r="C2097" s="34"/>
      <c r="D2097" s="34"/>
      <c r="E2097" s="35"/>
    </row>
    <row r="2098" spans="3:5" x14ac:dyDescent="0.25">
      <c r="C2098" s="34"/>
      <c r="D2098" s="34"/>
      <c r="E2098" s="35"/>
    </row>
    <row r="2099" spans="3:5" x14ac:dyDescent="0.25">
      <c r="C2099" s="34"/>
      <c r="D2099" s="34"/>
      <c r="E2099" s="35"/>
    </row>
    <row r="2100" spans="3:5" x14ac:dyDescent="0.25">
      <c r="C2100" s="34"/>
      <c r="D2100" s="34"/>
      <c r="E2100" s="35"/>
    </row>
    <row r="2101" spans="3:5" x14ac:dyDescent="0.25">
      <c r="C2101" s="34"/>
      <c r="D2101" s="34"/>
      <c r="E2101" s="35"/>
    </row>
    <row r="2102" spans="3:5" x14ac:dyDescent="0.25">
      <c r="C2102" s="34"/>
      <c r="D2102" s="34"/>
      <c r="E2102" s="35"/>
    </row>
    <row r="2103" spans="3:5" x14ac:dyDescent="0.25">
      <c r="C2103" s="34"/>
      <c r="D2103" s="34"/>
      <c r="E2103" s="35"/>
    </row>
    <row r="2104" spans="3:5" x14ac:dyDescent="0.25">
      <c r="C2104" s="34"/>
      <c r="D2104" s="34"/>
      <c r="E2104" s="35"/>
    </row>
    <row r="2105" spans="3:5" x14ac:dyDescent="0.25">
      <c r="C2105" s="34"/>
      <c r="D2105" s="34"/>
      <c r="E2105" s="35"/>
    </row>
    <row r="2106" spans="3:5" x14ac:dyDescent="0.25">
      <c r="C2106" s="34"/>
      <c r="D2106" s="34"/>
      <c r="E2106" s="35"/>
    </row>
    <row r="2107" spans="3:5" x14ac:dyDescent="0.25">
      <c r="C2107" s="34"/>
      <c r="D2107" s="34"/>
      <c r="E2107" s="35"/>
    </row>
    <row r="2108" spans="3:5" x14ac:dyDescent="0.25">
      <c r="C2108" s="34"/>
      <c r="D2108" s="34"/>
      <c r="E2108" s="35"/>
    </row>
    <row r="2109" spans="3:5" x14ac:dyDescent="0.25">
      <c r="C2109" s="34"/>
      <c r="D2109" s="34"/>
      <c r="E2109" s="35"/>
    </row>
    <row r="2110" spans="3:5" x14ac:dyDescent="0.25">
      <c r="C2110" s="34"/>
      <c r="D2110" s="34"/>
      <c r="E2110" s="35"/>
    </row>
    <row r="2111" spans="3:5" x14ac:dyDescent="0.25">
      <c r="C2111" s="34"/>
      <c r="D2111" s="34"/>
      <c r="E2111" s="35"/>
    </row>
    <row r="2112" spans="3:5" x14ac:dyDescent="0.25">
      <c r="C2112" s="34"/>
      <c r="D2112" s="34"/>
      <c r="E2112" s="35"/>
    </row>
    <row r="2113" spans="2:5" x14ac:dyDescent="0.25">
      <c r="C2113" s="34"/>
      <c r="D2113" s="34"/>
      <c r="E2113" s="35"/>
    </row>
    <row r="2114" spans="2:5" x14ac:dyDescent="0.25">
      <c r="C2114" s="34"/>
      <c r="D2114" s="34"/>
      <c r="E2114" s="35"/>
    </row>
    <row r="2115" spans="2:5" x14ac:dyDescent="0.25">
      <c r="C2115" s="34"/>
      <c r="D2115" s="34"/>
      <c r="E2115" s="35"/>
    </row>
    <row r="2116" spans="2:5" x14ac:dyDescent="0.25">
      <c r="C2116" s="34"/>
      <c r="D2116" s="34"/>
      <c r="E2116" s="35"/>
    </row>
    <row r="2117" spans="2:5" x14ac:dyDescent="0.25">
      <c r="C2117" s="34"/>
      <c r="D2117" s="34"/>
      <c r="E2117" s="35"/>
    </row>
    <row r="2118" spans="2:5" x14ac:dyDescent="0.25">
      <c r="C2118" s="34"/>
      <c r="D2118" s="34"/>
      <c r="E2118" s="35"/>
    </row>
    <row r="2119" spans="2:5" x14ac:dyDescent="0.25">
      <c r="C2119" s="34"/>
      <c r="D2119" s="34"/>
      <c r="E2119" s="35"/>
    </row>
    <row r="2120" spans="2:5" x14ac:dyDescent="0.25">
      <c r="B2120" s="34"/>
      <c r="C2120" s="34"/>
      <c r="D2120" s="34"/>
      <c r="E2120" s="34"/>
    </row>
    <row r="2121" spans="2:5" x14ac:dyDescent="0.25">
      <c r="C2121" s="34"/>
      <c r="D2121" s="34"/>
      <c r="E2121" s="35"/>
    </row>
    <row r="2122" spans="2:5" x14ac:dyDescent="0.25">
      <c r="C2122" s="34"/>
      <c r="D2122" s="34"/>
      <c r="E2122" s="35"/>
    </row>
    <row r="2123" spans="2:5" x14ac:dyDescent="0.25">
      <c r="C2123" s="34"/>
      <c r="D2123" s="34"/>
      <c r="E2123" s="35"/>
    </row>
    <row r="2124" spans="2:5" x14ac:dyDescent="0.25">
      <c r="B2124" s="34"/>
      <c r="C2124" s="34"/>
      <c r="D2124" s="34"/>
      <c r="E2124" s="34"/>
    </row>
    <row r="2125" spans="2:5" x14ac:dyDescent="0.25">
      <c r="C2125" s="34"/>
      <c r="D2125" s="34"/>
      <c r="E2125" s="35"/>
    </row>
    <row r="2126" spans="2:5" x14ac:dyDescent="0.25">
      <c r="C2126" s="34"/>
      <c r="D2126" s="34"/>
      <c r="E2126" s="35"/>
    </row>
    <row r="2127" spans="2:5" x14ac:dyDescent="0.25">
      <c r="C2127" s="34"/>
      <c r="D2127" s="34"/>
      <c r="E2127" s="35"/>
    </row>
    <row r="2128" spans="2:5" x14ac:dyDescent="0.25">
      <c r="B2128" s="34"/>
      <c r="C2128" s="34"/>
      <c r="D2128" s="34"/>
      <c r="E2128" s="34"/>
    </row>
    <row r="2129" spans="2:5" x14ac:dyDescent="0.25">
      <c r="C2129" s="34"/>
      <c r="D2129" s="34"/>
      <c r="E2129" s="35"/>
    </row>
    <row r="2130" spans="2:5" x14ac:dyDescent="0.25">
      <c r="C2130" s="34"/>
      <c r="D2130" s="34"/>
      <c r="E2130" s="35"/>
    </row>
    <row r="2131" spans="2:5" x14ac:dyDescent="0.25">
      <c r="C2131" s="34"/>
      <c r="D2131" s="34"/>
      <c r="E2131" s="35"/>
    </row>
    <row r="2132" spans="2:5" x14ac:dyDescent="0.25">
      <c r="C2132" s="34"/>
      <c r="D2132" s="34"/>
      <c r="E2132" s="35"/>
    </row>
    <row r="2133" spans="2:5" x14ac:dyDescent="0.25">
      <c r="C2133" s="34"/>
      <c r="D2133" s="34"/>
      <c r="E2133" s="35"/>
    </row>
    <row r="2134" spans="2:5" x14ac:dyDescent="0.25">
      <c r="C2134" s="34"/>
      <c r="D2134" s="34"/>
      <c r="E2134" s="35"/>
    </row>
    <row r="2135" spans="2:5" x14ac:dyDescent="0.25">
      <c r="C2135" s="34"/>
      <c r="D2135" s="34"/>
      <c r="E2135" s="35"/>
    </row>
    <row r="2136" spans="2:5" x14ac:dyDescent="0.25">
      <c r="B2136" s="34"/>
      <c r="C2136" s="34"/>
      <c r="D2136" s="34"/>
      <c r="E2136" s="34"/>
    </row>
    <row r="2137" spans="2:5" x14ac:dyDescent="0.25">
      <c r="C2137" s="34"/>
      <c r="D2137" s="34"/>
      <c r="E2137" s="35"/>
    </row>
    <row r="2138" spans="2:5" x14ac:dyDescent="0.25">
      <c r="B2138" s="34"/>
      <c r="C2138" s="34"/>
      <c r="D2138" s="34"/>
      <c r="E2138" s="34"/>
    </row>
    <row r="2139" spans="2:5" x14ac:dyDescent="0.25">
      <c r="C2139" s="34"/>
      <c r="D2139" s="34"/>
      <c r="E2139" s="35"/>
    </row>
    <row r="2140" spans="2:5" x14ac:dyDescent="0.25">
      <c r="B2140" s="34"/>
      <c r="C2140" s="34"/>
      <c r="D2140" s="34"/>
      <c r="E2140" s="34"/>
    </row>
    <row r="2141" spans="2:5" x14ac:dyDescent="0.25">
      <c r="C2141" s="34"/>
      <c r="D2141" s="34"/>
      <c r="E2141" s="35"/>
    </row>
    <row r="2142" spans="2:5" x14ac:dyDescent="0.25">
      <c r="C2142" s="34"/>
      <c r="D2142" s="34"/>
      <c r="E2142" s="35"/>
    </row>
    <row r="2143" spans="2:5" x14ac:dyDescent="0.25">
      <c r="C2143" s="34"/>
      <c r="D2143" s="34"/>
      <c r="E2143" s="35"/>
    </row>
    <row r="2144" spans="2:5" x14ac:dyDescent="0.25">
      <c r="C2144" s="34"/>
      <c r="D2144" s="34"/>
      <c r="E2144" s="35"/>
    </row>
    <row r="2145" spans="3:5" x14ac:dyDescent="0.25">
      <c r="C2145" s="34"/>
      <c r="D2145" s="34"/>
      <c r="E2145" s="35"/>
    </row>
    <row r="2146" spans="3:5" x14ac:dyDescent="0.25">
      <c r="C2146" s="34"/>
      <c r="D2146" s="34"/>
      <c r="E2146" s="35"/>
    </row>
    <row r="2147" spans="3:5" x14ac:dyDescent="0.25">
      <c r="C2147" s="34"/>
      <c r="D2147" s="34"/>
      <c r="E2147" s="35"/>
    </row>
    <row r="2148" spans="3:5" x14ac:dyDescent="0.25">
      <c r="C2148" s="34"/>
      <c r="D2148" s="34"/>
      <c r="E2148" s="35"/>
    </row>
    <row r="2149" spans="3:5" x14ac:dyDescent="0.25">
      <c r="C2149" s="34"/>
      <c r="D2149" s="34"/>
      <c r="E2149" s="35"/>
    </row>
    <row r="2150" spans="3:5" x14ac:dyDescent="0.25">
      <c r="C2150" s="34"/>
      <c r="D2150" s="34"/>
      <c r="E2150" s="35"/>
    </row>
    <row r="2151" spans="3:5" x14ac:dyDescent="0.25">
      <c r="C2151" s="34"/>
      <c r="D2151" s="34"/>
      <c r="E2151" s="35"/>
    </row>
    <row r="2152" spans="3:5" x14ac:dyDescent="0.25">
      <c r="C2152" s="34"/>
      <c r="D2152" s="34"/>
      <c r="E2152" s="35"/>
    </row>
    <row r="2153" spans="3:5" x14ac:dyDescent="0.25">
      <c r="C2153" s="34"/>
      <c r="D2153" s="34"/>
      <c r="E2153" s="35"/>
    </row>
    <row r="2154" spans="3:5" x14ac:dyDescent="0.25">
      <c r="C2154" s="34"/>
      <c r="D2154" s="34"/>
      <c r="E2154" s="35"/>
    </row>
    <row r="2155" spans="3:5" x14ac:dyDescent="0.25">
      <c r="C2155" s="34"/>
      <c r="D2155" s="34"/>
      <c r="E2155" s="35"/>
    </row>
    <row r="2156" spans="3:5" x14ac:dyDescent="0.25">
      <c r="C2156" s="34"/>
      <c r="D2156" s="34"/>
      <c r="E2156" s="35"/>
    </row>
    <row r="2157" spans="3:5" x14ac:dyDescent="0.25">
      <c r="C2157" s="34"/>
      <c r="D2157" s="34"/>
      <c r="E2157" s="35"/>
    </row>
    <row r="2158" spans="3:5" x14ac:dyDescent="0.25">
      <c r="C2158" s="34"/>
      <c r="D2158" s="34"/>
      <c r="E2158" s="35"/>
    </row>
    <row r="2159" spans="3:5" x14ac:dyDescent="0.25">
      <c r="C2159" s="34"/>
      <c r="D2159" s="34"/>
      <c r="E2159" s="35"/>
    </row>
    <row r="2160" spans="3:5" x14ac:dyDescent="0.25">
      <c r="C2160" s="34"/>
      <c r="D2160" s="34"/>
      <c r="E2160" s="35"/>
    </row>
    <row r="2161" spans="2:5" x14ac:dyDescent="0.25">
      <c r="C2161" s="34"/>
      <c r="D2161" s="34"/>
      <c r="E2161" s="35"/>
    </row>
    <row r="2162" spans="2:5" x14ac:dyDescent="0.25">
      <c r="C2162" s="34"/>
      <c r="D2162" s="34"/>
      <c r="E2162" s="35"/>
    </row>
    <row r="2163" spans="2:5" x14ac:dyDescent="0.25">
      <c r="C2163" s="34"/>
      <c r="D2163" s="34"/>
      <c r="E2163" s="35"/>
    </row>
    <row r="2164" spans="2:5" x14ac:dyDescent="0.25">
      <c r="C2164" s="34"/>
      <c r="D2164" s="34"/>
      <c r="E2164" s="35"/>
    </row>
    <row r="2165" spans="2:5" x14ac:dyDescent="0.25">
      <c r="C2165" s="34"/>
      <c r="D2165" s="34"/>
      <c r="E2165" s="35"/>
    </row>
    <row r="2166" spans="2:5" x14ac:dyDescent="0.25">
      <c r="C2166" s="34"/>
      <c r="D2166" s="34"/>
      <c r="E2166" s="35"/>
    </row>
    <row r="2167" spans="2:5" x14ac:dyDescent="0.25">
      <c r="C2167" s="34"/>
      <c r="D2167" s="34"/>
      <c r="E2167" s="35"/>
    </row>
    <row r="2168" spans="2:5" x14ac:dyDescent="0.25">
      <c r="C2168" s="34"/>
      <c r="D2168" s="34"/>
      <c r="E2168" s="35"/>
    </row>
    <row r="2169" spans="2:5" x14ac:dyDescent="0.25">
      <c r="C2169" s="34"/>
      <c r="D2169" s="34"/>
      <c r="E2169" s="35"/>
    </row>
    <row r="2170" spans="2:5" x14ac:dyDescent="0.25">
      <c r="C2170" s="34"/>
      <c r="D2170" s="34"/>
      <c r="E2170" s="35"/>
    </row>
    <row r="2171" spans="2:5" x14ac:dyDescent="0.25">
      <c r="C2171" s="34"/>
      <c r="D2171" s="34"/>
      <c r="E2171" s="35"/>
    </row>
    <row r="2172" spans="2:5" x14ac:dyDescent="0.25">
      <c r="C2172" s="34"/>
      <c r="D2172" s="34"/>
      <c r="E2172" s="35"/>
    </row>
    <row r="2173" spans="2:5" x14ac:dyDescent="0.25">
      <c r="B2173" s="34"/>
      <c r="C2173" s="34"/>
      <c r="D2173" s="34"/>
      <c r="E2173" s="34"/>
    </row>
    <row r="2174" spans="2:5" x14ac:dyDescent="0.25">
      <c r="C2174" s="34"/>
      <c r="D2174" s="34"/>
      <c r="E2174" s="35"/>
    </row>
    <row r="2175" spans="2:5" x14ac:dyDescent="0.25">
      <c r="C2175" s="34"/>
      <c r="D2175" s="34"/>
      <c r="E2175" s="35"/>
    </row>
    <row r="2176" spans="2:5" x14ac:dyDescent="0.25">
      <c r="C2176" s="34"/>
      <c r="D2176" s="34"/>
      <c r="E2176" s="35"/>
    </row>
    <row r="2177" spans="3:5" x14ac:dyDescent="0.25">
      <c r="C2177" s="34"/>
      <c r="D2177" s="34"/>
      <c r="E2177" s="35"/>
    </row>
    <row r="2178" spans="3:5" x14ac:dyDescent="0.25">
      <c r="C2178" s="34"/>
      <c r="D2178" s="34"/>
      <c r="E2178" s="35"/>
    </row>
    <row r="2179" spans="3:5" x14ac:dyDescent="0.25">
      <c r="C2179" s="34"/>
      <c r="D2179" s="34"/>
      <c r="E2179" s="35"/>
    </row>
    <row r="2180" spans="3:5" x14ac:dyDescent="0.25">
      <c r="C2180" s="34"/>
      <c r="D2180" s="34"/>
      <c r="E2180" s="35"/>
    </row>
    <row r="2181" spans="3:5" x14ac:dyDescent="0.25">
      <c r="C2181" s="34"/>
      <c r="D2181" s="34"/>
      <c r="E2181" s="35"/>
    </row>
    <row r="2182" spans="3:5" x14ac:dyDescent="0.25">
      <c r="C2182" s="34"/>
      <c r="D2182" s="34"/>
      <c r="E2182" s="35"/>
    </row>
    <row r="2183" spans="3:5" x14ac:dyDescent="0.25">
      <c r="C2183" s="34"/>
      <c r="D2183" s="34"/>
      <c r="E2183" s="35"/>
    </row>
    <row r="2184" spans="3:5" x14ac:dyDescent="0.25">
      <c r="C2184" s="34"/>
      <c r="D2184" s="34"/>
      <c r="E2184" s="35"/>
    </row>
    <row r="2185" spans="3:5" x14ac:dyDescent="0.25">
      <c r="C2185" s="34"/>
      <c r="D2185" s="34"/>
      <c r="E2185" s="35"/>
    </row>
    <row r="2186" spans="3:5" x14ac:dyDescent="0.25">
      <c r="C2186" s="34"/>
      <c r="D2186" s="34"/>
      <c r="E2186" s="35"/>
    </row>
    <row r="2187" spans="3:5" x14ac:dyDescent="0.25">
      <c r="C2187" s="34"/>
      <c r="D2187" s="34"/>
      <c r="E2187" s="35"/>
    </row>
    <row r="2188" spans="3:5" x14ac:dyDescent="0.25">
      <c r="C2188" s="34"/>
      <c r="D2188" s="34"/>
      <c r="E2188" s="35"/>
    </row>
    <row r="2189" spans="3:5" x14ac:dyDescent="0.25">
      <c r="C2189" s="34"/>
      <c r="D2189" s="34"/>
      <c r="E2189" s="35"/>
    </row>
    <row r="2190" spans="3:5" x14ac:dyDescent="0.25">
      <c r="C2190" s="34"/>
      <c r="D2190" s="34"/>
      <c r="E2190" s="35"/>
    </row>
    <row r="2191" spans="3:5" x14ac:dyDescent="0.25">
      <c r="C2191" s="34"/>
      <c r="D2191" s="34"/>
      <c r="E2191" s="35"/>
    </row>
    <row r="2192" spans="3:5" x14ac:dyDescent="0.25">
      <c r="C2192" s="34"/>
      <c r="D2192" s="34"/>
      <c r="E2192" s="35"/>
    </row>
    <row r="2193" spans="2:5" x14ac:dyDescent="0.25">
      <c r="C2193" s="34"/>
      <c r="D2193" s="34"/>
      <c r="E2193" s="35"/>
    </row>
    <row r="2194" spans="2:5" x14ac:dyDescent="0.25">
      <c r="C2194" s="34"/>
      <c r="D2194" s="34"/>
      <c r="E2194" s="35"/>
    </row>
    <row r="2195" spans="2:5" x14ac:dyDescent="0.25">
      <c r="C2195" s="34"/>
      <c r="D2195" s="34"/>
      <c r="E2195" s="35"/>
    </row>
    <row r="2196" spans="2:5" x14ac:dyDescent="0.25">
      <c r="C2196" s="34"/>
      <c r="D2196" s="34"/>
      <c r="E2196" s="35"/>
    </row>
    <row r="2197" spans="2:5" x14ac:dyDescent="0.25">
      <c r="B2197" s="34"/>
      <c r="C2197" s="34"/>
      <c r="D2197" s="34"/>
      <c r="E2197" s="34"/>
    </row>
    <row r="2198" spans="2:5" x14ac:dyDescent="0.25">
      <c r="C2198" s="34"/>
      <c r="D2198" s="34"/>
      <c r="E2198" s="35"/>
    </row>
    <row r="2199" spans="2:5" x14ac:dyDescent="0.25">
      <c r="C2199" s="34"/>
      <c r="D2199" s="34"/>
      <c r="E2199" s="35"/>
    </row>
    <row r="2200" spans="2:5" x14ac:dyDescent="0.25">
      <c r="C2200" s="34"/>
      <c r="D2200" s="34"/>
      <c r="E2200" s="35"/>
    </row>
    <row r="2201" spans="2:5" x14ac:dyDescent="0.25">
      <c r="C2201" s="34"/>
      <c r="D2201" s="34"/>
      <c r="E2201" s="35"/>
    </row>
    <row r="2202" spans="2:5" x14ac:dyDescent="0.25">
      <c r="C2202" s="34"/>
      <c r="D2202" s="34"/>
      <c r="E2202" s="35"/>
    </row>
    <row r="2203" spans="2:5" x14ac:dyDescent="0.25">
      <c r="C2203" s="34"/>
      <c r="D2203" s="34"/>
      <c r="E2203" s="35"/>
    </row>
    <row r="2204" spans="2:5" x14ac:dyDescent="0.25">
      <c r="C2204" s="34"/>
      <c r="D2204" s="34"/>
      <c r="E2204" s="35"/>
    </row>
    <row r="2205" spans="2:5" x14ac:dyDescent="0.25">
      <c r="C2205" s="34"/>
      <c r="D2205" s="34"/>
      <c r="E2205" s="35"/>
    </row>
    <row r="2206" spans="2:5" x14ac:dyDescent="0.25">
      <c r="C2206" s="34"/>
      <c r="D2206" s="34"/>
      <c r="E2206" s="35"/>
    </row>
    <row r="2207" spans="2:5" x14ac:dyDescent="0.25">
      <c r="B2207" s="34"/>
      <c r="C2207" s="34"/>
      <c r="D2207" s="34"/>
      <c r="E2207" s="34"/>
    </row>
    <row r="2208" spans="2:5" x14ac:dyDescent="0.25">
      <c r="C2208" s="34"/>
      <c r="D2208" s="34"/>
      <c r="E2208" s="35"/>
    </row>
    <row r="2209" spans="2:5" x14ac:dyDescent="0.25">
      <c r="C2209" s="34"/>
      <c r="D2209" s="34"/>
      <c r="E2209" s="35"/>
    </row>
    <row r="2210" spans="2:5" x14ac:dyDescent="0.25">
      <c r="C2210" s="34"/>
      <c r="D2210" s="34"/>
      <c r="E2210" s="35"/>
    </row>
    <row r="2211" spans="2:5" x14ac:dyDescent="0.25">
      <c r="C2211" s="34"/>
      <c r="D2211" s="34"/>
      <c r="E2211" s="35"/>
    </row>
    <row r="2212" spans="2:5" x14ac:dyDescent="0.25">
      <c r="C2212" s="34"/>
      <c r="D2212" s="34"/>
      <c r="E2212" s="35"/>
    </row>
    <row r="2213" spans="2:5" x14ac:dyDescent="0.25">
      <c r="C2213" s="34"/>
      <c r="D2213" s="34"/>
      <c r="E2213" s="35"/>
    </row>
    <row r="2214" spans="2:5" x14ac:dyDescent="0.25">
      <c r="C2214" s="34"/>
      <c r="D2214" s="34"/>
      <c r="E2214" s="35"/>
    </row>
    <row r="2215" spans="2:5" x14ac:dyDescent="0.25">
      <c r="C2215" s="34"/>
      <c r="D2215" s="34"/>
      <c r="E2215" s="35"/>
    </row>
    <row r="2216" spans="2:5" x14ac:dyDescent="0.25">
      <c r="C2216" s="34"/>
      <c r="D2216" s="34"/>
      <c r="E2216" s="35"/>
    </row>
    <row r="2217" spans="2:5" x14ac:dyDescent="0.25">
      <c r="C2217" s="34"/>
      <c r="D2217" s="34"/>
      <c r="E2217" s="35"/>
    </row>
    <row r="2218" spans="2:5" x14ac:dyDescent="0.25">
      <c r="C2218" s="34"/>
      <c r="D2218" s="34"/>
      <c r="E2218" s="35"/>
    </row>
    <row r="2219" spans="2:5" x14ac:dyDescent="0.25">
      <c r="C2219" s="34"/>
      <c r="D2219" s="34"/>
      <c r="E2219" s="35"/>
    </row>
    <row r="2220" spans="2:5" x14ac:dyDescent="0.25">
      <c r="C2220" s="34"/>
      <c r="D2220" s="34"/>
      <c r="E2220" s="35"/>
    </row>
    <row r="2221" spans="2:5" x14ac:dyDescent="0.25">
      <c r="C2221" s="34"/>
      <c r="D2221" s="34"/>
      <c r="E2221" s="35"/>
    </row>
    <row r="2222" spans="2:5" x14ac:dyDescent="0.25">
      <c r="C2222" s="34"/>
      <c r="D2222" s="34"/>
      <c r="E2222" s="35"/>
    </row>
    <row r="2223" spans="2:5" x14ac:dyDescent="0.25">
      <c r="C2223" s="34"/>
      <c r="D2223" s="34"/>
      <c r="E2223" s="35"/>
    </row>
    <row r="2224" spans="2:5" x14ac:dyDescent="0.25">
      <c r="B2224" s="34"/>
      <c r="C2224" s="34"/>
      <c r="D2224" s="34"/>
      <c r="E2224" s="34"/>
    </row>
    <row r="2225" spans="2:5" x14ac:dyDescent="0.25">
      <c r="C2225" s="34"/>
      <c r="D2225" s="34"/>
      <c r="E2225" s="35"/>
    </row>
    <row r="2226" spans="2:5" x14ac:dyDescent="0.25">
      <c r="C2226" s="34"/>
      <c r="D2226" s="34"/>
      <c r="E2226" s="35"/>
    </row>
    <row r="2227" spans="2:5" x14ac:dyDescent="0.25">
      <c r="C2227" s="34"/>
      <c r="D2227" s="34"/>
      <c r="E2227" s="35"/>
    </row>
    <row r="2228" spans="2:5" x14ac:dyDescent="0.25">
      <c r="C2228" s="34"/>
      <c r="D2228" s="34"/>
      <c r="E2228" s="35"/>
    </row>
    <row r="2229" spans="2:5" x14ac:dyDescent="0.25">
      <c r="B2229" s="34"/>
      <c r="C2229" s="34"/>
      <c r="D2229" s="34"/>
      <c r="E2229" s="34"/>
    </row>
    <row r="2230" spans="2:5" x14ac:dyDescent="0.25">
      <c r="C2230" s="34"/>
      <c r="D2230" s="34"/>
      <c r="E2230" s="35"/>
    </row>
    <row r="2231" spans="2:5" x14ac:dyDescent="0.25">
      <c r="C2231" s="34"/>
      <c r="D2231" s="34"/>
      <c r="E2231" s="35"/>
    </row>
    <row r="2232" spans="2:5" x14ac:dyDescent="0.25">
      <c r="C2232" s="34"/>
      <c r="D2232" s="34"/>
      <c r="E2232" s="35"/>
    </row>
    <row r="2233" spans="2:5" x14ac:dyDescent="0.25">
      <c r="C2233" s="34"/>
      <c r="D2233" s="34"/>
      <c r="E2233" s="35"/>
    </row>
    <row r="2234" spans="2:5" x14ac:dyDescent="0.25">
      <c r="C2234" s="34"/>
      <c r="D2234" s="34"/>
      <c r="E2234" s="35"/>
    </row>
    <row r="2235" spans="2:5" x14ac:dyDescent="0.25">
      <c r="C2235" s="34"/>
      <c r="D2235" s="34"/>
      <c r="E2235" s="35"/>
    </row>
    <row r="2236" spans="2:5" x14ac:dyDescent="0.25">
      <c r="C2236" s="34"/>
      <c r="D2236" s="34"/>
      <c r="E2236" s="35"/>
    </row>
    <row r="2237" spans="2:5" x14ac:dyDescent="0.25">
      <c r="C2237" s="34"/>
      <c r="D2237" s="34"/>
      <c r="E2237" s="35"/>
    </row>
    <row r="2238" spans="2:5" x14ac:dyDescent="0.25">
      <c r="C2238" s="34"/>
      <c r="D2238" s="34"/>
      <c r="E2238" s="35"/>
    </row>
    <row r="2239" spans="2:5" x14ac:dyDescent="0.25">
      <c r="C2239" s="34"/>
      <c r="D2239" s="34"/>
      <c r="E2239" s="35"/>
    </row>
    <row r="2240" spans="2:5" x14ac:dyDescent="0.25">
      <c r="C2240" s="34"/>
      <c r="D2240" s="34"/>
      <c r="E2240" s="35"/>
    </row>
    <row r="2241" spans="2:5" x14ac:dyDescent="0.25">
      <c r="C2241" s="34"/>
      <c r="D2241" s="34"/>
      <c r="E2241" s="35"/>
    </row>
    <row r="2242" spans="2:5" x14ac:dyDescent="0.25">
      <c r="C2242" s="34"/>
      <c r="D2242" s="34"/>
      <c r="E2242" s="35"/>
    </row>
    <row r="2243" spans="2:5" x14ac:dyDescent="0.25">
      <c r="C2243" s="34"/>
      <c r="D2243" s="34"/>
      <c r="E2243" s="35"/>
    </row>
    <row r="2244" spans="2:5" x14ac:dyDescent="0.25">
      <c r="C2244" s="34"/>
      <c r="D2244" s="34"/>
      <c r="E2244" s="35"/>
    </row>
    <row r="2245" spans="2:5" x14ac:dyDescent="0.25">
      <c r="C2245" s="34"/>
      <c r="D2245" s="34"/>
      <c r="E2245" s="35"/>
    </row>
    <row r="2246" spans="2:5" x14ac:dyDescent="0.25">
      <c r="C2246" s="34"/>
      <c r="D2246" s="34"/>
      <c r="E2246" s="35"/>
    </row>
    <row r="2247" spans="2:5" x14ac:dyDescent="0.25">
      <c r="C2247" s="34"/>
      <c r="D2247" s="34"/>
      <c r="E2247" s="35"/>
    </row>
    <row r="2248" spans="2:5" x14ac:dyDescent="0.25">
      <c r="B2248" s="34"/>
      <c r="C2248" s="34"/>
      <c r="D2248" s="34"/>
      <c r="E2248" s="34"/>
    </row>
    <row r="2249" spans="2:5" x14ac:dyDescent="0.25">
      <c r="C2249" s="34"/>
      <c r="D2249" s="34"/>
      <c r="E2249" s="35"/>
    </row>
    <row r="2250" spans="2:5" x14ac:dyDescent="0.25">
      <c r="C2250" s="34"/>
      <c r="D2250" s="34"/>
      <c r="E2250" s="35"/>
    </row>
    <row r="2251" spans="2:5" x14ac:dyDescent="0.25">
      <c r="B2251" s="34"/>
      <c r="C2251" s="34"/>
      <c r="D2251" s="34"/>
      <c r="E2251" s="34"/>
    </row>
    <row r="2252" spans="2:5" x14ac:dyDescent="0.25">
      <c r="C2252" s="34"/>
      <c r="D2252" s="34"/>
      <c r="E2252" s="35"/>
    </row>
    <row r="2253" spans="2:5" x14ac:dyDescent="0.25">
      <c r="C2253" s="34"/>
      <c r="D2253" s="34"/>
      <c r="E2253" s="35"/>
    </row>
    <row r="2254" spans="2:5" x14ac:dyDescent="0.25">
      <c r="C2254" s="34"/>
      <c r="D2254" s="34"/>
      <c r="E2254" s="35"/>
    </row>
    <row r="2255" spans="2:5" x14ac:dyDescent="0.25">
      <c r="C2255" s="34"/>
      <c r="D2255" s="34"/>
      <c r="E2255" s="35"/>
    </row>
    <row r="2256" spans="2:5" x14ac:dyDescent="0.25">
      <c r="C2256" s="34"/>
      <c r="D2256" s="34"/>
      <c r="E2256" s="35"/>
    </row>
    <row r="2257" spans="3:5" x14ac:dyDescent="0.25">
      <c r="C2257" s="34"/>
      <c r="D2257" s="34"/>
      <c r="E2257" s="35"/>
    </row>
    <row r="2258" spans="3:5" x14ac:dyDescent="0.25">
      <c r="C2258" s="34"/>
      <c r="D2258" s="34"/>
      <c r="E2258" s="35"/>
    </row>
    <row r="2259" spans="3:5" x14ac:dyDescent="0.25">
      <c r="C2259" s="34"/>
      <c r="D2259" s="34"/>
      <c r="E2259" s="35"/>
    </row>
    <row r="2260" spans="3:5" x14ac:dyDescent="0.25">
      <c r="C2260" s="34"/>
      <c r="D2260" s="34"/>
      <c r="E2260" s="35"/>
    </row>
    <row r="2261" spans="3:5" x14ac:dyDescent="0.25">
      <c r="C2261" s="34"/>
      <c r="D2261" s="34"/>
      <c r="E2261" s="35"/>
    </row>
    <row r="2262" spans="3:5" x14ac:dyDescent="0.25">
      <c r="C2262" s="34"/>
      <c r="D2262" s="34"/>
      <c r="E2262" s="35"/>
    </row>
    <row r="2263" spans="3:5" x14ac:dyDescent="0.25">
      <c r="C2263" s="34"/>
      <c r="D2263" s="34"/>
      <c r="E2263" s="35"/>
    </row>
    <row r="2264" spans="3:5" x14ac:dyDescent="0.25">
      <c r="C2264" s="34"/>
      <c r="D2264" s="34"/>
      <c r="E2264" s="35"/>
    </row>
    <row r="2265" spans="3:5" x14ac:dyDescent="0.25">
      <c r="C2265" s="34"/>
      <c r="D2265" s="34"/>
      <c r="E2265" s="35"/>
    </row>
    <row r="2266" spans="3:5" x14ac:dyDescent="0.25">
      <c r="C2266" s="34"/>
      <c r="D2266" s="34"/>
      <c r="E2266" s="35"/>
    </row>
    <row r="2267" spans="3:5" x14ac:dyDescent="0.25">
      <c r="C2267" s="34"/>
      <c r="D2267" s="34"/>
      <c r="E2267" s="35"/>
    </row>
    <row r="2268" spans="3:5" x14ac:dyDescent="0.25">
      <c r="C2268" s="34"/>
      <c r="D2268" s="34"/>
      <c r="E2268" s="35"/>
    </row>
    <row r="2269" spans="3:5" x14ac:dyDescent="0.25">
      <c r="C2269" s="34"/>
      <c r="D2269" s="34"/>
      <c r="E2269" s="35"/>
    </row>
    <row r="2270" spans="3:5" x14ac:dyDescent="0.25">
      <c r="C2270" s="34"/>
      <c r="D2270" s="34"/>
      <c r="E2270" s="35"/>
    </row>
    <row r="2271" spans="3:5" x14ac:dyDescent="0.25">
      <c r="C2271" s="34"/>
      <c r="D2271" s="34"/>
      <c r="E2271" s="35"/>
    </row>
    <row r="2272" spans="3:5" x14ac:dyDescent="0.25">
      <c r="C2272" s="34"/>
      <c r="D2272" s="34"/>
      <c r="E2272" s="35"/>
    </row>
    <row r="2273" spans="2:5" x14ac:dyDescent="0.25">
      <c r="C2273" s="34"/>
      <c r="D2273" s="34"/>
      <c r="E2273" s="35"/>
    </row>
    <row r="2274" spans="2:5" x14ac:dyDescent="0.25">
      <c r="C2274" s="34"/>
      <c r="D2274" s="34"/>
      <c r="E2274" s="35"/>
    </row>
    <row r="2275" spans="2:5" x14ac:dyDescent="0.25">
      <c r="C2275" s="34"/>
      <c r="D2275" s="34"/>
      <c r="E2275" s="35"/>
    </row>
    <row r="2276" spans="2:5" x14ac:dyDescent="0.25">
      <c r="C2276" s="34"/>
      <c r="D2276" s="34"/>
      <c r="E2276" s="35"/>
    </row>
    <row r="2277" spans="2:5" x14ac:dyDescent="0.25">
      <c r="C2277" s="34"/>
      <c r="D2277" s="34"/>
      <c r="E2277" s="35"/>
    </row>
    <row r="2278" spans="2:5" x14ac:dyDescent="0.25">
      <c r="C2278" s="34"/>
      <c r="D2278" s="34"/>
      <c r="E2278" s="35"/>
    </row>
    <row r="2279" spans="2:5" x14ac:dyDescent="0.25">
      <c r="C2279" s="34"/>
      <c r="D2279" s="34"/>
      <c r="E2279" s="35"/>
    </row>
    <row r="2280" spans="2:5" x14ac:dyDescent="0.25">
      <c r="C2280" s="34"/>
      <c r="D2280" s="34"/>
      <c r="E2280" s="35"/>
    </row>
    <row r="2281" spans="2:5" x14ac:dyDescent="0.25">
      <c r="C2281" s="34"/>
      <c r="D2281" s="34"/>
      <c r="E2281" s="35"/>
    </row>
    <row r="2282" spans="2:5" x14ac:dyDescent="0.25">
      <c r="C2282" s="34"/>
      <c r="D2282" s="34"/>
      <c r="E2282" s="35"/>
    </row>
    <row r="2283" spans="2:5" x14ac:dyDescent="0.25">
      <c r="C2283" s="34"/>
      <c r="D2283" s="34"/>
      <c r="E2283" s="35"/>
    </row>
    <row r="2284" spans="2:5" x14ac:dyDescent="0.25">
      <c r="C2284" s="34"/>
      <c r="D2284" s="34"/>
      <c r="E2284" s="35"/>
    </row>
    <row r="2285" spans="2:5" x14ac:dyDescent="0.25">
      <c r="C2285" s="34"/>
      <c r="D2285" s="34"/>
      <c r="E2285" s="35"/>
    </row>
    <row r="2286" spans="2:5" x14ac:dyDescent="0.25">
      <c r="B2286" s="34"/>
      <c r="C2286" s="34"/>
      <c r="D2286" s="34"/>
      <c r="E2286" s="34"/>
    </row>
    <row r="2287" spans="2:5" x14ac:dyDescent="0.25">
      <c r="C2287" s="34"/>
      <c r="D2287" s="34"/>
      <c r="E2287" s="35"/>
    </row>
    <row r="2288" spans="2:5" x14ac:dyDescent="0.25">
      <c r="C2288" s="34"/>
      <c r="D2288" s="34"/>
      <c r="E2288" s="35"/>
    </row>
    <row r="2289" spans="2:5" x14ac:dyDescent="0.25">
      <c r="C2289" s="34"/>
      <c r="D2289" s="34"/>
      <c r="E2289" s="35"/>
    </row>
    <row r="2290" spans="2:5" x14ac:dyDescent="0.25">
      <c r="C2290" s="34"/>
      <c r="D2290" s="34"/>
      <c r="E2290" s="35"/>
    </row>
    <row r="2291" spans="2:5" x14ac:dyDescent="0.25">
      <c r="C2291" s="34"/>
      <c r="D2291" s="34"/>
      <c r="E2291" s="35"/>
    </row>
    <row r="2292" spans="2:5" x14ac:dyDescent="0.25">
      <c r="B2292" s="34"/>
      <c r="C2292" s="34"/>
      <c r="D2292" s="34"/>
      <c r="E2292" s="34"/>
    </row>
    <row r="2293" spans="2:5" x14ac:dyDescent="0.25">
      <c r="C2293" s="34"/>
      <c r="D2293" s="34"/>
      <c r="E2293" s="35"/>
    </row>
    <row r="2294" spans="2:5" x14ac:dyDescent="0.25">
      <c r="C2294" s="34"/>
      <c r="D2294" s="34"/>
      <c r="E2294" s="35"/>
    </row>
    <row r="2295" spans="2:5" x14ac:dyDescent="0.25">
      <c r="C2295" s="34"/>
      <c r="D2295" s="34"/>
      <c r="E2295" s="35"/>
    </row>
    <row r="2296" spans="2:5" x14ac:dyDescent="0.25">
      <c r="C2296" s="34"/>
      <c r="D2296" s="34"/>
      <c r="E2296" s="35"/>
    </row>
    <row r="2297" spans="2:5" x14ac:dyDescent="0.25">
      <c r="C2297" s="34"/>
      <c r="D2297" s="34"/>
      <c r="E2297" s="35"/>
    </row>
    <row r="2298" spans="2:5" x14ac:dyDescent="0.25">
      <c r="C2298" s="34"/>
      <c r="D2298" s="34"/>
      <c r="E2298" s="35"/>
    </row>
    <row r="2299" spans="2:5" x14ac:dyDescent="0.25">
      <c r="C2299" s="34"/>
      <c r="D2299" s="34"/>
      <c r="E2299" s="35"/>
    </row>
    <row r="2300" spans="2:5" x14ac:dyDescent="0.25">
      <c r="C2300" s="34"/>
      <c r="D2300" s="34"/>
      <c r="E2300" s="35"/>
    </row>
    <row r="2301" spans="2:5" x14ac:dyDescent="0.25">
      <c r="C2301" s="34"/>
      <c r="D2301" s="34"/>
      <c r="E2301" s="35"/>
    </row>
    <row r="2302" spans="2:5" x14ac:dyDescent="0.25">
      <c r="C2302" s="34"/>
      <c r="D2302" s="34"/>
      <c r="E2302" s="35"/>
    </row>
    <row r="2303" spans="2:5" x14ac:dyDescent="0.25">
      <c r="C2303" s="34"/>
      <c r="D2303" s="34"/>
      <c r="E2303" s="35"/>
    </row>
    <row r="2304" spans="2:5" x14ac:dyDescent="0.25">
      <c r="C2304" s="34"/>
      <c r="D2304" s="34"/>
      <c r="E2304" s="35"/>
    </row>
    <row r="2305" spans="3:5" x14ac:dyDescent="0.25">
      <c r="C2305" s="34"/>
      <c r="D2305" s="34"/>
      <c r="E2305" s="35"/>
    </row>
    <row r="2306" spans="3:5" x14ac:dyDescent="0.25">
      <c r="C2306" s="34"/>
      <c r="D2306" s="34"/>
      <c r="E2306" s="35"/>
    </row>
    <row r="2307" spans="3:5" x14ac:dyDescent="0.25">
      <c r="C2307" s="34"/>
      <c r="D2307" s="34"/>
      <c r="E2307" s="35"/>
    </row>
    <row r="2308" spans="3:5" x14ac:dyDescent="0.25">
      <c r="C2308" s="34"/>
      <c r="D2308" s="34"/>
      <c r="E2308" s="35"/>
    </row>
    <row r="2309" spans="3:5" x14ac:dyDescent="0.25">
      <c r="C2309" s="34"/>
      <c r="D2309" s="34"/>
      <c r="E2309" s="35"/>
    </row>
    <row r="2310" spans="3:5" x14ac:dyDescent="0.25">
      <c r="C2310" s="34"/>
      <c r="D2310" s="34"/>
      <c r="E2310" s="35"/>
    </row>
    <row r="2311" spans="3:5" x14ac:dyDescent="0.25">
      <c r="C2311" s="34"/>
      <c r="D2311" s="34"/>
      <c r="E2311" s="35"/>
    </row>
    <row r="2312" spans="3:5" x14ac:dyDescent="0.25">
      <c r="C2312" s="34"/>
      <c r="D2312" s="34"/>
      <c r="E2312" s="35"/>
    </row>
    <row r="2313" spans="3:5" x14ac:dyDescent="0.25">
      <c r="C2313" s="34"/>
      <c r="D2313" s="34"/>
      <c r="E2313" s="35"/>
    </row>
    <row r="2314" spans="3:5" x14ac:dyDescent="0.25">
      <c r="C2314" s="34"/>
      <c r="D2314" s="34"/>
      <c r="E2314" s="35"/>
    </row>
    <row r="2315" spans="3:5" x14ac:dyDescent="0.25">
      <c r="C2315" s="34"/>
      <c r="D2315" s="34"/>
      <c r="E2315" s="35"/>
    </row>
    <row r="2316" spans="3:5" x14ac:dyDescent="0.25">
      <c r="C2316" s="34"/>
      <c r="D2316" s="34"/>
      <c r="E2316" s="35"/>
    </row>
    <row r="2317" spans="3:5" x14ac:dyDescent="0.25">
      <c r="C2317" s="34"/>
      <c r="D2317" s="34"/>
      <c r="E2317" s="35"/>
    </row>
    <row r="2318" spans="3:5" x14ac:dyDescent="0.25">
      <c r="C2318" s="34"/>
      <c r="D2318" s="34"/>
      <c r="E2318" s="35"/>
    </row>
    <row r="2319" spans="3:5" x14ac:dyDescent="0.25">
      <c r="C2319" s="34"/>
      <c r="D2319" s="34"/>
      <c r="E2319" s="35"/>
    </row>
    <row r="2320" spans="3:5" x14ac:dyDescent="0.25">
      <c r="C2320" s="34"/>
      <c r="D2320" s="34"/>
      <c r="E2320" s="35"/>
    </row>
    <row r="2321" spans="2:5" x14ac:dyDescent="0.25">
      <c r="C2321" s="34"/>
      <c r="D2321" s="34"/>
      <c r="E2321" s="35"/>
    </row>
    <row r="2322" spans="2:5" x14ac:dyDescent="0.25">
      <c r="C2322" s="34"/>
      <c r="D2322" s="34"/>
      <c r="E2322" s="35"/>
    </row>
    <row r="2323" spans="2:5" x14ac:dyDescent="0.25">
      <c r="B2323" s="34"/>
      <c r="C2323" s="34"/>
      <c r="D2323" s="34"/>
      <c r="E2323" s="34"/>
    </row>
    <row r="2324" spans="2:5" x14ac:dyDescent="0.25">
      <c r="B2324" s="34"/>
      <c r="C2324" s="34"/>
      <c r="D2324" s="34"/>
      <c r="E2324" s="34"/>
    </row>
    <row r="2325" spans="2:5" x14ac:dyDescent="0.25">
      <c r="C2325" s="34"/>
      <c r="D2325" s="34"/>
      <c r="E2325" s="35"/>
    </row>
    <row r="2326" spans="2:5" x14ac:dyDescent="0.25">
      <c r="C2326" s="34"/>
      <c r="D2326" s="34"/>
      <c r="E2326" s="35"/>
    </row>
    <row r="2327" spans="2:5" x14ac:dyDescent="0.25">
      <c r="C2327" s="34"/>
      <c r="D2327" s="34"/>
      <c r="E2327" s="35"/>
    </row>
    <row r="2328" spans="2:5" x14ac:dyDescent="0.25">
      <c r="C2328" s="34"/>
      <c r="D2328" s="34"/>
      <c r="E2328" s="35"/>
    </row>
    <row r="2329" spans="2:5" x14ac:dyDescent="0.25">
      <c r="C2329" s="34"/>
      <c r="D2329" s="34"/>
      <c r="E2329" s="35"/>
    </row>
    <row r="2330" spans="2:5" x14ac:dyDescent="0.25">
      <c r="C2330" s="34"/>
      <c r="D2330" s="34"/>
      <c r="E2330" s="35"/>
    </row>
    <row r="2331" spans="2:5" x14ac:dyDescent="0.25">
      <c r="C2331" s="34"/>
      <c r="D2331" s="34"/>
      <c r="E2331" s="35"/>
    </row>
    <row r="2332" spans="2:5" x14ac:dyDescent="0.25">
      <c r="C2332" s="34"/>
      <c r="D2332" s="34"/>
      <c r="E2332" s="35"/>
    </row>
    <row r="2333" spans="2:5" x14ac:dyDescent="0.25">
      <c r="C2333" s="34"/>
      <c r="D2333" s="34"/>
      <c r="E2333" s="35"/>
    </row>
    <row r="2334" spans="2:5" x14ac:dyDescent="0.25">
      <c r="C2334" s="34"/>
      <c r="D2334" s="34"/>
      <c r="E2334" s="35"/>
    </row>
    <row r="2335" spans="2:5" x14ac:dyDescent="0.25">
      <c r="B2335" s="34"/>
      <c r="C2335" s="34"/>
      <c r="D2335" s="34"/>
      <c r="E2335" s="34"/>
    </row>
    <row r="2336" spans="2:5" x14ac:dyDescent="0.25">
      <c r="C2336" s="34"/>
      <c r="D2336" s="34"/>
      <c r="E2336" s="35"/>
    </row>
    <row r="2337" spans="3:5" x14ac:dyDescent="0.25">
      <c r="C2337" s="34"/>
      <c r="D2337" s="34"/>
      <c r="E2337" s="35"/>
    </row>
    <row r="2338" spans="3:5" x14ac:dyDescent="0.25">
      <c r="C2338" s="34"/>
      <c r="D2338" s="34"/>
      <c r="E2338" s="35"/>
    </row>
    <row r="2339" spans="3:5" x14ac:dyDescent="0.25">
      <c r="C2339" s="34"/>
      <c r="D2339" s="34"/>
      <c r="E2339" s="35"/>
    </row>
    <row r="2340" spans="3:5" x14ac:dyDescent="0.25">
      <c r="C2340" s="34"/>
      <c r="D2340" s="34"/>
      <c r="E2340" s="35"/>
    </row>
    <row r="2341" spans="3:5" x14ac:dyDescent="0.25">
      <c r="C2341" s="34"/>
      <c r="D2341" s="34"/>
      <c r="E2341" s="35"/>
    </row>
    <row r="2342" spans="3:5" x14ac:dyDescent="0.25">
      <c r="C2342" s="34"/>
      <c r="D2342" s="34"/>
      <c r="E2342" s="35"/>
    </row>
    <row r="2343" spans="3:5" x14ac:dyDescent="0.25">
      <c r="C2343" s="34"/>
      <c r="D2343" s="34"/>
      <c r="E2343" s="35"/>
    </row>
    <row r="2344" spans="3:5" x14ac:dyDescent="0.25">
      <c r="C2344" s="34"/>
      <c r="D2344" s="34"/>
      <c r="E2344" s="35"/>
    </row>
    <row r="2345" spans="3:5" x14ac:dyDescent="0.25">
      <c r="C2345" s="34"/>
      <c r="D2345" s="34"/>
      <c r="E2345" s="35"/>
    </row>
    <row r="2346" spans="3:5" x14ac:dyDescent="0.25">
      <c r="C2346" s="34"/>
      <c r="D2346" s="34"/>
      <c r="E2346" s="35"/>
    </row>
    <row r="2347" spans="3:5" x14ac:dyDescent="0.25">
      <c r="C2347" s="34"/>
      <c r="D2347" s="34"/>
      <c r="E2347" s="35"/>
    </row>
    <row r="2348" spans="3:5" x14ac:dyDescent="0.25">
      <c r="C2348" s="34"/>
      <c r="D2348" s="34"/>
      <c r="E2348" s="35"/>
    </row>
    <row r="2349" spans="3:5" x14ac:dyDescent="0.25">
      <c r="C2349" s="34"/>
      <c r="D2349" s="34"/>
      <c r="E2349" s="35"/>
    </row>
    <row r="2350" spans="3:5" x14ac:dyDescent="0.25">
      <c r="C2350" s="34"/>
      <c r="D2350" s="34"/>
      <c r="E2350" s="35"/>
    </row>
    <row r="2351" spans="3:5" x14ac:dyDescent="0.25">
      <c r="C2351" s="34"/>
      <c r="D2351" s="34"/>
      <c r="E2351" s="35"/>
    </row>
    <row r="2352" spans="3:5" x14ac:dyDescent="0.25">
      <c r="C2352" s="34"/>
      <c r="D2352" s="34"/>
      <c r="E2352" s="35"/>
    </row>
    <row r="2353" spans="3:5" x14ac:dyDescent="0.25">
      <c r="C2353" s="34"/>
      <c r="D2353" s="34"/>
      <c r="E2353" s="35"/>
    </row>
    <row r="2354" spans="3:5" x14ac:dyDescent="0.25">
      <c r="C2354" s="34"/>
      <c r="D2354" s="34"/>
      <c r="E2354" s="35"/>
    </row>
    <row r="2355" spans="3:5" x14ac:dyDescent="0.25">
      <c r="C2355" s="34"/>
      <c r="D2355" s="34"/>
      <c r="E2355" s="35"/>
    </row>
    <row r="2356" spans="3:5" x14ac:dyDescent="0.25">
      <c r="C2356" s="34"/>
      <c r="D2356" s="34"/>
      <c r="E2356" s="35"/>
    </row>
    <row r="2357" spans="3:5" x14ac:dyDescent="0.25">
      <c r="C2357" s="34"/>
      <c r="D2357" s="34"/>
      <c r="E2357" s="35"/>
    </row>
    <row r="2358" spans="3:5" x14ac:dyDescent="0.25">
      <c r="C2358" s="34"/>
      <c r="D2358" s="34"/>
      <c r="E2358" s="35"/>
    </row>
    <row r="2359" spans="3:5" x14ac:dyDescent="0.25">
      <c r="C2359" s="34"/>
      <c r="D2359" s="34"/>
      <c r="E2359" s="35"/>
    </row>
    <row r="2360" spans="3:5" x14ac:dyDescent="0.25">
      <c r="C2360" s="34"/>
      <c r="D2360" s="34"/>
      <c r="E2360" s="35"/>
    </row>
    <row r="2361" spans="3:5" x14ac:dyDescent="0.25">
      <c r="C2361" s="34"/>
      <c r="D2361" s="34"/>
      <c r="E2361" s="35"/>
    </row>
    <row r="2362" spans="3:5" x14ac:dyDescent="0.25">
      <c r="C2362" s="34"/>
      <c r="D2362" s="34"/>
      <c r="E2362" s="35"/>
    </row>
    <row r="2363" spans="3:5" x14ac:dyDescent="0.25">
      <c r="C2363" s="34"/>
      <c r="D2363" s="34"/>
      <c r="E2363" s="35"/>
    </row>
    <row r="2364" spans="3:5" x14ac:dyDescent="0.25">
      <c r="C2364" s="34"/>
      <c r="D2364" s="34"/>
      <c r="E2364" s="35"/>
    </row>
    <row r="2365" spans="3:5" x14ac:dyDescent="0.25">
      <c r="C2365" s="34"/>
      <c r="D2365" s="34"/>
      <c r="E2365" s="35"/>
    </row>
    <row r="2366" spans="3:5" x14ac:dyDescent="0.25">
      <c r="C2366" s="34"/>
      <c r="D2366" s="34"/>
      <c r="E2366" s="35"/>
    </row>
    <row r="2367" spans="3:5" x14ac:dyDescent="0.25">
      <c r="C2367" s="34"/>
      <c r="D2367" s="34"/>
      <c r="E2367" s="35"/>
    </row>
    <row r="2368" spans="3:5" x14ac:dyDescent="0.25">
      <c r="C2368" s="34"/>
      <c r="D2368" s="34"/>
      <c r="E2368" s="35"/>
    </row>
    <row r="2369" spans="3:5" x14ac:dyDescent="0.25">
      <c r="C2369" s="34"/>
      <c r="D2369" s="34"/>
      <c r="E2369" s="35"/>
    </row>
    <row r="2370" spans="3:5" x14ac:dyDescent="0.25">
      <c r="C2370" s="34"/>
      <c r="D2370" s="34"/>
      <c r="E2370" s="35"/>
    </row>
    <row r="2371" spans="3:5" x14ac:dyDescent="0.25">
      <c r="C2371" s="34"/>
      <c r="D2371" s="34"/>
      <c r="E2371" s="35"/>
    </row>
    <row r="2372" spans="3:5" x14ac:dyDescent="0.25">
      <c r="C2372" s="34"/>
      <c r="D2372" s="34"/>
      <c r="E2372" s="35"/>
    </row>
    <row r="2373" spans="3:5" x14ac:dyDescent="0.25">
      <c r="C2373" s="34"/>
      <c r="D2373" s="34"/>
      <c r="E2373" s="35"/>
    </row>
    <row r="2374" spans="3:5" x14ac:dyDescent="0.25">
      <c r="C2374" s="34"/>
      <c r="D2374" s="34"/>
      <c r="E2374" s="35"/>
    </row>
    <row r="2375" spans="3:5" x14ac:dyDescent="0.25">
      <c r="C2375" s="34"/>
      <c r="D2375" s="34"/>
      <c r="E2375" s="35"/>
    </row>
    <row r="2376" spans="3:5" x14ac:dyDescent="0.25">
      <c r="C2376" s="34"/>
      <c r="D2376" s="34"/>
      <c r="E2376" s="35"/>
    </row>
    <row r="2377" spans="3:5" x14ac:dyDescent="0.25">
      <c r="C2377" s="34"/>
      <c r="D2377" s="34"/>
      <c r="E2377" s="35"/>
    </row>
    <row r="2378" spans="3:5" x14ac:dyDescent="0.25">
      <c r="C2378" s="34"/>
      <c r="D2378" s="34"/>
      <c r="E2378" s="35"/>
    </row>
    <row r="2379" spans="3:5" x14ac:dyDescent="0.25">
      <c r="C2379" s="34"/>
      <c r="D2379" s="34"/>
      <c r="E2379" s="35"/>
    </row>
    <row r="2380" spans="3:5" x14ac:dyDescent="0.25">
      <c r="C2380" s="34"/>
      <c r="D2380" s="34"/>
      <c r="E2380" s="35"/>
    </row>
    <row r="2381" spans="3:5" x14ac:dyDescent="0.25">
      <c r="C2381" s="34"/>
      <c r="D2381" s="34"/>
      <c r="E2381" s="35"/>
    </row>
    <row r="2382" spans="3:5" x14ac:dyDescent="0.25">
      <c r="C2382" s="34"/>
      <c r="D2382" s="34"/>
      <c r="E2382" s="35"/>
    </row>
    <row r="2383" spans="3:5" x14ac:dyDescent="0.25">
      <c r="C2383" s="34"/>
      <c r="D2383" s="34"/>
      <c r="E2383" s="35"/>
    </row>
    <row r="2384" spans="3:5" x14ac:dyDescent="0.25">
      <c r="C2384" s="34"/>
      <c r="D2384" s="34"/>
      <c r="E2384" s="35"/>
    </row>
    <row r="2385" spans="2:5" x14ac:dyDescent="0.25">
      <c r="C2385" s="34"/>
      <c r="D2385" s="34"/>
      <c r="E2385" s="35"/>
    </row>
    <row r="2386" spans="2:5" x14ac:dyDescent="0.25">
      <c r="C2386" s="34"/>
      <c r="D2386" s="34"/>
      <c r="E2386" s="35"/>
    </row>
    <row r="2387" spans="2:5" x14ac:dyDescent="0.25">
      <c r="C2387" s="34"/>
      <c r="D2387" s="34"/>
      <c r="E2387" s="35"/>
    </row>
    <row r="2388" spans="2:5" x14ac:dyDescent="0.25">
      <c r="C2388" s="34"/>
      <c r="D2388" s="34"/>
      <c r="E2388" s="35"/>
    </row>
    <row r="2389" spans="2:5" x14ac:dyDescent="0.25">
      <c r="B2389" s="34"/>
      <c r="C2389" s="34"/>
      <c r="D2389" s="34"/>
      <c r="E2389" s="34"/>
    </row>
    <row r="2390" spans="2:5" x14ac:dyDescent="0.25">
      <c r="B2390" s="34"/>
      <c r="C2390" s="34"/>
      <c r="D2390" s="34"/>
      <c r="E2390" s="34"/>
    </row>
    <row r="2391" spans="2:5" x14ac:dyDescent="0.25">
      <c r="C2391" s="34"/>
      <c r="D2391" s="34"/>
      <c r="E2391" s="35"/>
    </row>
    <row r="2392" spans="2:5" x14ac:dyDescent="0.25">
      <c r="C2392" s="34"/>
      <c r="D2392" s="34"/>
      <c r="E2392" s="35"/>
    </row>
    <row r="2393" spans="2:5" x14ac:dyDescent="0.25">
      <c r="C2393" s="34"/>
      <c r="D2393" s="34"/>
      <c r="E2393" s="35"/>
    </row>
    <row r="2394" spans="2:5" x14ac:dyDescent="0.25">
      <c r="C2394" s="34"/>
      <c r="D2394" s="34"/>
      <c r="E2394" s="35"/>
    </row>
    <row r="2395" spans="2:5" x14ac:dyDescent="0.25">
      <c r="C2395" s="34"/>
      <c r="D2395" s="34"/>
      <c r="E2395" s="35"/>
    </row>
    <row r="2396" spans="2:5" x14ac:dyDescent="0.25">
      <c r="C2396" s="34"/>
      <c r="D2396" s="34"/>
      <c r="E2396" s="35"/>
    </row>
    <row r="2397" spans="2:5" x14ac:dyDescent="0.25">
      <c r="C2397" s="34"/>
      <c r="D2397" s="34"/>
      <c r="E2397" s="35"/>
    </row>
    <row r="2398" spans="2:5" x14ac:dyDescent="0.25">
      <c r="C2398" s="34"/>
      <c r="D2398" s="34"/>
      <c r="E2398" s="35"/>
    </row>
    <row r="2399" spans="2:5" x14ac:dyDescent="0.25">
      <c r="C2399" s="34"/>
      <c r="D2399" s="34"/>
      <c r="E2399" s="35"/>
    </row>
    <row r="2400" spans="2:5" x14ac:dyDescent="0.25">
      <c r="C2400" s="34"/>
      <c r="D2400" s="34"/>
      <c r="E2400" s="35"/>
    </row>
    <row r="2401" spans="3:5" x14ac:dyDescent="0.25">
      <c r="C2401" s="34"/>
      <c r="D2401" s="34"/>
      <c r="E2401" s="35"/>
    </row>
    <row r="2402" spans="3:5" x14ac:dyDescent="0.25">
      <c r="C2402" s="34"/>
      <c r="D2402" s="34"/>
      <c r="E2402" s="35"/>
    </row>
    <row r="2403" spans="3:5" x14ac:dyDescent="0.25">
      <c r="C2403" s="34"/>
      <c r="D2403" s="34"/>
      <c r="E2403" s="35"/>
    </row>
    <row r="2404" spans="3:5" x14ac:dyDescent="0.25">
      <c r="C2404" s="34"/>
      <c r="D2404" s="34"/>
      <c r="E2404" s="35"/>
    </row>
    <row r="2405" spans="3:5" x14ac:dyDescent="0.25">
      <c r="C2405" s="34"/>
      <c r="D2405" s="34"/>
      <c r="E2405" s="35"/>
    </row>
    <row r="2406" spans="3:5" x14ac:dyDescent="0.25">
      <c r="C2406" s="34"/>
      <c r="D2406" s="34"/>
      <c r="E2406" s="35"/>
    </row>
    <row r="2407" spans="3:5" x14ac:dyDescent="0.25">
      <c r="C2407" s="34"/>
      <c r="D2407" s="34"/>
      <c r="E2407" s="35"/>
    </row>
    <row r="2408" spans="3:5" x14ac:dyDescent="0.25">
      <c r="C2408" s="34"/>
      <c r="D2408" s="34"/>
      <c r="E2408" s="35"/>
    </row>
    <row r="2409" spans="3:5" x14ac:dyDescent="0.25">
      <c r="C2409" s="34"/>
      <c r="D2409" s="34"/>
      <c r="E2409" s="35"/>
    </row>
    <row r="2410" spans="3:5" x14ac:dyDescent="0.25">
      <c r="C2410" s="34"/>
      <c r="D2410" s="34"/>
      <c r="E2410" s="35"/>
    </row>
    <row r="2411" spans="3:5" x14ac:dyDescent="0.25">
      <c r="C2411" s="34"/>
      <c r="D2411" s="34"/>
      <c r="E2411" s="35"/>
    </row>
    <row r="2412" spans="3:5" x14ac:dyDescent="0.25">
      <c r="C2412" s="34"/>
      <c r="D2412" s="34"/>
      <c r="E2412" s="35"/>
    </row>
    <row r="2413" spans="3:5" x14ac:dyDescent="0.25">
      <c r="C2413" s="34"/>
      <c r="D2413" s="34"/>
      <c r="E2413" s="35"/>
    </row>
    <row r="2414" spans="3:5" x14ac:dyDescent="0.25">
      <c r="C2414" s="34"/>
      <c r="D2414" s="34"/>
      <c r="E2414" s="35"/>
    </row>
    <row r="2415" spans="3:5" x14ac:dyDescent="0.25">
      <c r="C2415" s="34"/>
      <c r="D2415" s="34"/>
      <c r="E2415" s="35"/>
    </row>
    <row r="2416" spans="3:5" x14ac:dyDescent="0.25">
      <c r="C2416" s="34"/>
      <c r="D2416" s="34"/>
      <c r="E2416" s="35"/>
    </row>
    <row r="2417" spans="3:5" x14ac:dyDescent="0.25">
      <c r="C2417" s="34"/>
      <c r="D2417" s="34"/>
      <c r="E2417" s="35"/>
    </row>
    <row r="2418" spans="3:5" x14ac:dyDescent="0.25">
      <c r="C2418" s="34"/>
      <c r="D2418" s="34"/>
      <c r="E2418" s="35"/>
    </row>
    <row r="2419" spans="3:5" x14ac:dyDescent="0.25">
      <c r="C2419" s="34"/>
      <c r="D2419" s="34"/>
      <c r="E2419" s="35"/>
    </row>
    <row r="2420" spans="3:5" x14ac:dyDescent="0.25">
      <c r="C2420" s="34"/>
      <c r="D2420" s="34"/>
      <c r="E2420" s="35"/>
    </row>
    <row r="2421" spans="3:5" x14ac:dyDescent="0.25">
      <c r="C2421" s="34"/>
      <c r="D2421" s="34"/>
      <c r="E2421" s="35"/>
    </row>
    <row r="2422" spans="3:5" x14ac:dyDescent="0.25">
      <c r="C2422" s="34"/>
      <c r="D2422" s="34"/>
      <c r="E2422" s="35"/>
    </row>
    <row r="2423" spans="3:5" x14ac:dyDescent="0.25">
      <c r="C2423" s="34"/>
      <c r="D2423" s="34"/>
      <c r="E2423" s="35"/>
    </row>
    <row r="2424" spans="3:5" x14ac:dyDescent="0.25">
      <c r="C2424" s="34"/>
      <c r="D2424" s="34"/>
      <c r="E2424" s="35"/>
    </row>
    <row r="2425" spans="3:5" x14ac:dyDescent="0.25">
      <c r="C2425" s="34"/>
      <c r="D2425" s="34"/>
      <c r="E2425" s="35"/>
    </row>
    <row r="2426" spans="3:5" x14ac:dyDescent="0.25">
      <c r="C2426" s="34"/>
      <c r="D2426" s="34"/>
      <c r="E2426" s="35"/>
    </row>
    <row r="2427" spans="3:5" x14ac:dyDescent="0.25">
      <c r="C2427" s="34"/>
      <c r="D2427" s="34"/>
      <c r="E2427" s="35"/>
    </row>
    <row r="2428" spans="3:5" x14ac:dyDescent="0.25">
      <c r="C2428" s="34"/>
      <c r="D2428" s="34"/>
      <c r="E2428" s="35"/>
    </row>
    <row r="2429" spans="3:5" x14ac:dyDescent="0.25">
      <c r="C2429" s="34"/>
      <c r="D2429" s="34"/>
      <c r="E2429" s="35"/>
    </row>
    <row r="2430" spans="3:5" x14ac:dyDescent="0.25">
      <c r="C2430" s="34"/>
      <c r="D2430" s="34"/>
      <c r="E2430" s="35"/>
    </row>
    <row r="2431" spans="3:5" x14ac:dyDescent="0.25">
      <c r="C2431" s="34"/>
      <c r="D2431" s="34"/>
      <c r="E2431" s="35"/>
    </row>
    <row r="2432" spans="3:5" x14ac:dyDescent="0.25">
      <c r="C2432" s="34"/>
      <c r="D2432" s="34"/>
      <c r="E2432" s="35"/>
    </row>
    <row r="2433" spans="2:5" x14ac:dyDescent="0.25">
      <c r="C2433" s="34"/>
      <c r="D2433" s="34"/>
      <c r="E2433" s="35"/>
    </row>
    <row r="2434" spans="2:5" x14ac:dyDescent="0.25">
      <c r="C2434" s="34"/>
      <c r="D2434" s="34"/>
      <c r="E2434" s="35"/>
    </row>
    <row r="2435" spans="2:5" x14ac:dyDescent="0.25">
      <c r="C2435" s="34"/>
      <c r="D2435" s="34"/>
      <c r="E2435" s="35"/>
    </row>
    <row r="2436" spans="2:5" x14ac:dyDescent="0.25">
      <c r="C2436" s="34"/>
      <c r="D2436" s="34"/>
      <c r="E2436" s="35"/>
    </row>
    <row r="2437" spans="2:5" x14ac:dyDescent="0.25">
      <c r="C2437" s="34"/>
      <c r="D2437" s="34"/>
      <c r="E2437" s="35"/>
    </row>
    <row r="2438" spans="2:5" x14ac:dyDescent="0.25">
      <c r="C2438" s="34"/>
      <c r="D2438" s="34"/>
      <c r="E2438" s="35"/>
    </row>
    <row r="2439" spans="2:5" x14ac:dyDescent="0.25">
      <c r="C2439" s="34"/>
      <c r="D2439" s="34"/>
      <c r="E2439" s="35"/>
    </row>
    <row r="2440" spans="2:5" x14ac:dyDescent="0.25">
      <c r="C2440" s="34"/>
      <c r="D2440" s="34"/>
      <c r="E2440" s="35"/>
    </row>
    <row r="2441" spans="2:5" x14ac:dyDescent="0.25">
      <c r="C2441" s="34"/>
      <c r="D2441" s="34"/>
      <c r="E2441" s="35"/>
    </row>
    <row r="2442" spans="2:5" x14ac:dyDescent="0.25">
      <c r="C2442" s="34"/>
      <c r="D2442" s="34"/>
      <c r="E2442" s="35"/>
    </row>
    <row r="2443" spans="2:5" x14ac:dyDescent="0.25">
      <c r="C2443" s="34"/>
      <c r="D2443" s="34"/>
      <c r="E2443" s="35"/>
    </row>
    <row r="2444" spans="2:5" x14ac:dyDescent="0.25">
      <c r="C2444" s="34"/>
      <c r="D2444" s="34"/>
      <c r="E2444" s="35"/>
    </row>
    <row r="2445" spans="2:5" x14ac:dyDescent="0.25">
      <c r="B2445" s="34"/>
      <c r="C2445" s="34"/>
      <c r="D2445" s="34"/>
      <c r="E2445" s="34"/>
    </row>
    <row r="2446" spans="2:5" x14ac:dyDescent="0.25">
      <c r="C2446" s="34"/>
      <c r="D2446" s="34"/>
      <c r="E2446" s="35"/>
    </row>
    <row r="2447" spans="2:5" x14ac:dyDescent="0.25">
      <c r="C2447" s="34"/>
      <c r="D2447" s="34"/>
      <c r="E2447" s="35"/>
    </row>
    <row r="2448" spans="2:5" x14ac:dyDescent="0.25">
      <c r="C2448" s="34"/>
      <c r="D2448" s="34"/>
      <c r="E2448" s="35"/>
    </row>
    <row r="2449" spans="2:5" x14ac:dyDescent="0.25">
      <c r="B2449" s="34"/>
      <c r="C2449" s="34"/>
      <c r="D2449" s="34"/>
      <c r="E2449" s="34"/>
    </row>
    <row r="2450" spans="2:5" x14ac:dyDescent="0.25">
      <c r="C2450" s="34"/>
      <c r="D2450" s="34"/>
      <c r="E2450" s="35"/>
    </row>
    <row r="2451" spans="2:5" x14ac:dyDescent="0.25">
      <c r="C2451" s="34"/>
      <c r="D2451" s="34"/>
      <c r="E2451" s="35"/>
    </row>
    <row r="2452" spans="2:5" x14ac:dyDescent="0.25">
      <c r="C2452" s="34"/>
      <c r="D2452" s="34"/>
      <c r="E2452" s="35"/>
    </row>
    <row r="2453" spans="2:5" x14ac:dyDescent="0.25">
      <c r="C2453" s="34"/>
      <c r="D2453" s="34"/>
      <c r="E2453" s="35"/>
    </row>
    <row r="2454" spans="2:5" x14ac:dyDescent="0.25">
      <c r="C2454" s="34"/>
      <c r="D2454" s="34"/>
      <c r="E2454" s="35"/>
    </row>
    <row r="2455" spans="2:5" x14ac:dyDescent="0.25">
      <c r="B2455" s="34"/>
      <c r="C2455" s="34"/>
      <c r="D2455" s="34"/>
      <c r="E2455" s="34"/>
    </row>
    <row r="2456" spans="2:5" x14ac:dyDescent="0.25">
      <c r="C2456" s="34"/>
      <c r="D2456" s="34"/>
      <c r="E2456" s="35"/>
    </row>
    <row r="2457" spans="2:5" x14ac:dyDescent="0.25">
      <c r="C2457" s="34"/>
      <c r="D2457" s="34"/>
      <c r="E2457" s="35"/>
    </row>
    <row r="2458" spans="2:5" x14ac:dyDescent="0.25">
      <c r="C2458" s="34"/>
      <c r="D2458" s="34"/>
      <c r="E2458" s="35"/>
    </row>
    <row r="2459" spans="2:5" x14ac:dyDescent="0.25">
      <c r="C2459" s="34"/>
      <c r="D2459" s="34"/>
      <c r="E2459" s="35"/>
    </row>
    <row r="2460" spans="2:5" x14ac:dyDescent="0.25">
      <c r="C2460" s="34"/>
      <c r="D2460" s="34"/>
      <c r="E2460" s="35"/>
    </row>
    <row r="2461" spans="2:5" x14ac:dyDescent="0.25">
      <c r="C2461" s="34"/>
      <c r="D2461" s="34"/>
      <c r="E2461" s="35"/>
    </row>
    <row r="2462" spans="2:5" x14ac:dyDescent="0.25">
      <c r="C2462" s="34"/>
      <c r="D2462" s="34"/>
      <c r="E2462" s="35"/>
    </row>
    <row r="2463" spans="2:5" x14ac:dyDescent="0.25">
      <c r="C2463" s="34"/>
      <c r="D2463" s="34"/>
      <c r="E2463" s="35"/>
    </row>
    <row r="2464" spans="2:5" x14ac:dyDescent="0.25">
      <c r="C2464" s="34"/>
      <c r="D2464" s="34"/>
      <c r="E2464" s="35"/>
    </row>
    <row r="2465" spans="2:5" x14ac:dyDescent="0.25">
      <c r="C2465" s="34"/>
      <c r="D2465" s="34"/>
      <c r="E2465" s="35"/>
    </row>
    <row r="2466" spans="2:5" x14ac:dyDescent="0.25">
      <c r="C2466" s="34"/>
      <c r="D2466" s="34"/>
      <c r="E2466" s="35"/>
    </row>
    <row r="2467" spans="2:5" x14ac:dyDescent="0.25">
      <c r="C2467" s="34"/>
      <c r="D2467" s="34"/>
      <c r="E2467" s="35"/>
    </row>
    <row r="2468" spans="2:5" x14ac:dyDescent="0.25">
      <c r="B2468" s="34"/>
      <c r="C2468" s="34"/>
      <c r="D2468" s="34"/>
      <c r="E2468" s="34"/>
    </row>
    <row r="2469" spans="2:5" x14ac:dyDescent="0.25">
      <c r="C2469" s="34"/>
      <c r="D2469" s="34"/>
      <c r="E2469" s="35"/>
    </row>
    <row r="2470" spans="2:5" x14ac:dyDescent="0.25">
      <c r="C2470" s="34"/>
      <c r="D2470" s="34"/>
      <c r="E2470" s="35"/>
    </row>
    <row r="2471" spans="2:5" x14ac:dyDescent="0.25">
      <c r="C2471" s="34"/>
      <c r="D2471" s="34"/>
      <c r="E2471" s="35"/>
    </row>
    <row r="2472" spans="2:5" x14ac:dyDescent="0.25">
      <c r="C2472" s="34"/>
      <c r="D2472" s="34"/>
      <c r="E2472" s="35"/>
    </row>
    <row r="2473" spans="2:5" x14ac:dyDescent="0.25">
      <c r="C2473" s="34"/>
      <c r="D2473" s="34"/>
      <c r="E2473" s="35"/>
    </row>
    <row r="2474" spans="2:5" x14ac:dyDescent="0.25">
      <c r="C2474" s="34"/>
      <c r="D2474" s="34"/>
      <c r="E2474" s="35"/>
    </row>
    <row r="2475" spans="2:5" x14ac:dyDescent="0.25">
      <c r="C2475" s="34"/>
      <c r="D2475" s="34"/>
      <c r="E2475" s="35"/>
    </row>
    <row r="2476" spans="2:5" x14ac:dyDescent="0.25">
      <c r="C2476" s="34"/>
      <c r="D2476" s="34"/>
      <c r="E2476" s="35"/>
    </row>
    <row r="2477" spans="2:5" x14ac:dyDescent="0.25">
      <c r="C2477" s="34"/>
      <c r="D2477" s="34"/>
      <c r="E2477" s="35"/>
    </row>
    <row r="2478" spans="2:5" x14ac:dyDescent="0.25">
      <c r="C2478" s="34"/>
      <c r="D2478" s="34"/>
      <c r="E2478" s="35"/>
    </row>
    <row r="2479" spans="2:5" x14ac:dyDescent="0.25">
      <c r="C2479" s="34"/>
      <c r="D2479" s="34"/>
      <c r="E2479" s="35"/>
    </row>
    <row r="2480" spans="2:5" x14ac:dyDescent="0.25">
      <c r="C2480" s="34"/>
      <c r="D2480" s="34"/>
      <c r="E2480" s="35"/>
    </row>
    <row r="2481" spans="2:5" x14ac:dyDescent="0.25">
      <c r="C2481" s="34"/>
      <c r="D2481" s="34"/>
      <c r="E2481" s="35"/>
    </row>
    <row r="2482" spans="2:5" x14ac:dyDescent="0.25">
      <c r="C2482" s="34"/>
      <c r="D2482" s="34"/>
      <c r="E2482" s="35"/>
    </row>
    <row r="2483" spans="2:5" x14ac:dyDescent="0.25">
      <c r="C2483" s="34"/>
      <c r="D2483" s="34"/>
      <c r="E2483" s="35"/>
    </row>
    <row r="2484" spans="2:5" x14ac:dyDescent="0.25">
      <c r="C2484" s="34"/>
      <c r="D2484" s="34"/>
      <c r="E2484" s="35"/>
    </row>
    <row r="2485" spans="2:5" x14ac:dyDescent="0.25">
      <c r="C2485" s="34"/>
      <c r="D2485" s="34"/>
      <c r="E2485" s="35"/>
    </row>
    <row r="2486" spans="2:5" x14ac:dyDescent="0.25">
      <c r="C2486" s="34"/>
      <c r="D2486" s="34"/>
      <c r="E2486" s="35"/>
    </row>
    <row r="2487" spans="2:5" x14ac:dyDescent="0.25">
      <c r="B2487" s="34"/>
      <c r="C2487" s="34"/>
      <c r="D2487" s="34"/>
      <c r="E2487" s="34"/>
    </row>
    <row r="2488" spans="2:5" x14ac:dyDescent="0.25">
      <c r="C2488" s="34"/>
      <c r="D2488" s="34"/>
      <c r="E2488" s="35"/>
    </row>
    <row r="2489" spans="2:5" x14ac:dyDescent="0.25">
      <c r="C2489" s="34"/>
      <c r="D2489" s="34"/>
      <c r="E2489" s="35"/>
    </row>
    <row r="2490" spans="2:5" x14ac:dyDescent="0.25">
      <c r="B2490" s="34"/>
      <c r="C2490" s="34"/>
      <c r="D2490" s="34"/>
      <c r="E2490" s="34"/>
    </row>
    <row r="2491" spans="2:5" x14ac:dyDescent="0.25">
      <c r="C2491" s="34"/>
      <c r="D2491" s="34"/>
      <c r="E2491" s="35"/>
    </row>
    <row r="2492" spans="2:5" x14ac:dyDescent="0.25">
      <c r="B2492" s="34"/>
      <c r="C2492" s="34"/>
      <c r="D2492" s="34"/>
      <c r="E2492" s="34"/>
    </row>
    <row r="2493" spans="2:5" x14ac:dyDescent="0.25">
      <c r="C2493" s="34"/>
      <c r="D2493" s="34"/>
      <c r="E2493" s="35"/>
    </row>
    <row r="2494" spans="2:5" x14ac:dyDescent="0.25">
      <c r="C2494" s="34"/>
      <c r="D2494" s="34"/>
      <c r="E2494" s="35"/>
    </row>
    <row r="2495" spans="2:5" x14ac:dyDescent="0.25">
      <c r="C2495" s="34"/>
      <c r="D2495" s="34"/>
      <c r="E2495" s="35"/>
    </row>
    <row r="2496" spans="2:5" x14ac:dyDescent="0.25">
      <c r="C2496" s="34"/>
      <c r="D2496" s="34"/>
      <c r="E2496" s="35"/>
    </row>
    <row r="2497" spans="2:5" x14ac:dyDescent="0.25">
      <c r="C2497" s="34"/>
      <c r="D2497" s="34"/>
      <c r="E2497" s="35"/>
    </row>
    <row r="2498" spans="2:5" x14ac:dyDescent="0.25">
      <c r="C2498" s="34"/>
      <c r="D2498" s="34"/>
      <c r="E2498" s="35"/>
    </row>
    <row r="2499" spans="2:5" x14ac:dyDescent="0.25">
      <c r="C2499" s="34"/>
      <c r="D2499" s="34"/>
      <c r="E2499" s="35"/>
    </row>
    <row r="2500" spans="2:5" x14ac:dyDescent="0.25">
      <c r="C2500" s="34"/>
      <c r="D2500" s="34"/>
      <c r="E2500" s="35"/>
    </row>
    <row r="2501" spans="2:5" x14ac:dyDescent="0.25">
      <c r="C2501" s="34"/>
      <c r="D2501" s="34"/>
      <c r="E2501" s="35"/>
    </row>
    <row r="2502" spans="2:5" x14ac:dyDescent="0.25">
      <c r="C2502" s="34"/>
      <c r="D2502" s="34"/>
      <c r="E2502" s="35"/>
    </row>
    <row r="2503" spans="2:5" x14ac:dyDescent="0.25">
      <c r="C2503" s="34"/>
      <c r="D2503" s="34"/>
      <c r="E2503" s="35"/>
    </row>
    <row r="2504" spans="2:5" x14ac:dyDescent="0.25">
      <c r="C2504" s="34"/>
      <c r="D2504" s="34"/>
      <c r="E2504" s="35"/>
    </row>
    <row r="2505" spans="2:5" x14ac:dyDescent="0.25">
      <c r="B2505" s="34"/>
      <c r="C2505" s="34"/>
      <c r="D2505" s="34"/>
      <c r="E2505" s="34"/>
    </row>
    <row r="2506" spans="2:5" x14ac:dyDescent="0.25">
      <c r="C2506" s="34"/>
      <c r="D2506" s="34"/>
      <c r="E2506" s="35"/>
    </row>
    <row r="2507" spans="2:5" x14ac:dyDescent="0.25">
      <c r="B2507" s="34"/>
      <c r="C2507" s="34"/>
      <c r="D2507" s="34"/>
      <c r="E2507" s="34"/>
    </row>
    <row r="2508" spans="2:5" x14ac:dyDescent="0.25">
      <c r="C2508" s="34"/>
      <c r="D2508" s="34"/>
      <c r="E2508" s="35"/>
    </row>
    <row r="2509" spans="2:5" x14ac:dyDescent="0.25">
      <c r="B2509" s="34"/>
      <c r="C2509" s="34"/>
      <c r="D2509" s="34"/>
      <c r="E2509" s="34"/>
    </row>
    <row r="2510" spans="2:5" x14ac:dyDescent="0.25">
      <c r="C2510" s="34"/>
      <c r="D2510" s="34"/>
      <c r="E2510" s="35"/>
    </row>
    <row r="2511" spans="2:5" x14ac:dyDescent="0.25">
      <c r="C2511" s="34"/>
      <c r="D2511" s="34"/>
      <c r="E2511" s="35"/>
    </row>
    <row r="2512" spans="2:5" x14ac:dyDescent="0.25">
      <c r="C2512" s="34"/>
      <c r="D2512" s="34"/>
      <c r="E2512" s="35"/>
    </row>
    <row r="2513" spans="2:5" x14ac:dyDescent="0.25">
      <c r="C2513" s="34"/>
      <c r="D2513" s="34"/>
      <c r="E2513" s="35"/>
    </row>
    <row r="2514" spans="2:5" x14ac:dyDescent="0.25">
      <c r="B2514" s="34"/>
      <c r="C2514" s="34"/>
      <c r="D2514" s="34"/>
      <c r="E2514" s="34"/>
    </row>
    <row r="2515" spans="2:5" x14ac:dyDescent="0.25">
      <c r="C2515" s="34"/>
      <c r="D2515" s="34"/>
      <c r="E2515" s="35"/>
    </row>
    <row r="2516" spans="2:5" x14ac:dyDescent="0.25">
      <c r="C2516" s="34"/>
      <c r="D2516" s="34"/>
      <c r="E2516" s="35"/>
    </row>
    <row r="2517" spans="2:5" x14ac:dyDescent="0.25">
      <c r="C2517" s="34"/>
      <c r="D2517" s="34"/>
      <c r="E2517" s="35"/>
    </row>
    <row r="2518" spans="2:5" x14ac:dyDescent="0.25">
      <c r="C2518" s="34"/>
      <c r="D2518" s="34"/>
      <c r="E2518" s="35"/>
    </row>
    <row r="2519" spans="2:5" x14ac:dyDescent="0.25">
      <c r="C2519" s="34"/>
      <c r="D2519" s="34"/>
      <c r="E2519" s="35"/>
    </row>
    <row r="2520" spans="2:5" x14ac:dyDescent="0.25">
      <c r="C2520" s="34"/>
      <c r="D2520" s="34"/>
      <c r="E2520" s="35"/>
    </row>
    <row r="2521" spans="2:5" x14ac:dyDescent="0.25">
      <c r="C2521" s="34"/>
      <c r="D2521" s="34"/>
      <c r="E2521" s="35"/>
    </row>
    <row r="2522" spans="2:5" x14ac:dyDescent="0.25">
      <c r="C2522" s="34"/>
      <c r="D2522" s="34"/>
      <c r="E2522" s="35"/>
    </row>
    <row r="2523" spans="2:5" x14ac:dyDescent="0.25">
      <c r="C2523" s="34"/>
      <c r="D2523" s="34"/>
      <c r="E2523" s="35"/>
    </row>
    <row r="2524" spans="2:5" x14ac:dyDescent="0.25">
      <c r="C2524" s="34"/>
      <c r="D2524" s="34"/>
      <c r="E2524" s="35"/>
    </row>
    <row r="2525" spans="2:5" x14ac:dyDescent="0.25">
      <c r="C2525" s="34"/>
      <c r="D2525" s="34"/>
      <c r="E2525" s="35"/>
    </row>
    <row r="2526" spans="2:5" x14ac:dyDescent="0.25">
      <c r="C2526" s="34"/>
      <c r="D2526" s="34"/>
      <c r="E2526" s="35"/>
    </row>
    <row r="2527" spans="2:5" x14ac:dyDescent="0.25">
      <c r="C2527" s="34"/>
      <c r="D2527" s="34"/>
      <c r="E2527" s="35"/>
    </row>
    <row r="2528" spans="2:5" x14ac:dyDescent="0.25">
      <c r="C2528" s="34"/>
      <c r="D2528" s="34"/>
      <c r="E2528" s="35"/>
    </row>
    <row r="2529" spans="2:5" x14ac:dyDescent="0.25">
      <c r="C2529" s="34"/>
      <c r="D2529" s="34"/>
      <c r="E2529" s="35"/>
    </row>
    <row r="2530" spans="2:5" x14ac:dyDescent="0.25">
      <c r="C2530" s="34"/>
      <c r="D2530" s="34"/>
      <c r="E2530" s="35"/>
    </row>
    <row r="2531" spans="2:5" x14ac:dyDescent="0.25">
      <c r="C2531" s="34"/>
      <c r="D2531" s="34"/>
      <c r="E2531" s="35"/>
    </row>
    <row r="2532" spans="2:5" x14ac:dyDescent="0.25">
      <c r="C2532" s="34"/>
      <c r="D2532" s="34"/>
      <c r="E2532" s="35"/>
    </row>
    <row r="2533" spans="2:5" x14ac:dyDescent="0.25">
      <c r="C2533" s="34"/>
      <c r="D2533" s="34"/>
      <c r="E2533" s="35"/>
    </row>
    <row r="2534" spans="2:5" x14ac:dyDescent="0.25">
      <c r="C2534" s="34"/>
      <c r="D2534" s="34"/>
      <c r="E2534" s="35"/>
    </row>
    <row r="2535" spans="2:5" x14ac:dyDescent="0.25">
      <c r="C2535" s="34"/>
      <c r="D2535" s="34"/>
      <c r="E2535" s="35"/>
    </row>
    <row r="2536" spans="2:5" x14ac:dyDescent="0.25">
      <c r="C2536" s="34"/>
      <c r="D2536" s="34"/>
      <c r="E2536" s="35"/>
    </row>
    <row r="2537" spans="2:5" x14ac:dyDescent="0.25">
      <c r="C2537" s="34"/>
      <c r="D2537" s="34"/>
      <c r="E2537" s="35"/>
    </row>
    <row r="2538" spans="2:5" x14ac:dyDescent="0.25">
      <c r="C2538" s="34"/>
      <c r="D2538" s="34"/>
      <c r="E2538" s="35"/>
    </row>
    <row r="2539" spans="2:5" x14ac:dyDescent="0.25">
      <c r="C2539" s="34"/>
      <c r="D2539" s="34"/>
      <c r="E2539" s="35"/>
    </row>
    <row r="2540" spans="2:5" x14ac:dyDescent="0.25">
      <c r="C2540" s="34"/>
      <c r="D2540" s="34"/>
      <c r="E2540" s="35"/>
    </row>
    <row r="2541" spans="2:5" x14ac:dyDescent="0.25">
      <c r="B2541" s="34"/>
      <c r="C2541" s="34"/>
      <c r="D2541" s="34"/>
      <c r="E2541" s="34"/>
    </row>
    <row r="2542" spans="2:5" x14ac:dyDescent="0.25">
      <c r="C2542" s="34"/>
      <c r="D2542" s="34"/>
      <c r="E2542" s="35"/>
    </row>
    <row r="2543" spans="2:5" x14ac:dyDescent="0.25">
      <c r="C2543" s="34"/>
      <c r="D2543" s="34"/>
      <c r="E2543" s="35"/>
    </row>
    <row r="2544" spans="2:5" x14ac:dyDescent="0.25">
      <c r="C2544" s="34"/>
      <c r="D2544" s="34"/>
      <c r="E2544" s="35"/>
    </row>
    <row r="2545" spans="2:5" x14ac:dyDescent="0.25">
      <c r="C2545" s="34"/>
      <c r="D2545" s="34"/>
      <c r="E2545" s="35"/>
    </row>
    <row r="2546" spans="2:5" x14ac:dyDescent="0.25">
      <c r="C2546" s="34"/>
      <c r="D2546" s="34"/>
      <c r="E2546" s="35"/>
    </row>
    <row r="2547" spans="2:5" x14ac:dyDescent="0.25">
      <c r="C2547" s="34"/>
      <c r="D2547" s="34"/>
      <c r="E2547" s="35"/>
    </row>
    <row r="2548" spans="2:5" x14ac:dyDescent="0.25">
      <c r="C2548" s="34"/>
      <c r="D2548" s="34"/>
      <c r="E2548" s="35"/>
    </row>
    <row r="2549" spans="2:5" x14ac:dyDescent="0.25">
      <c r="B2549" s="34"/>
      <c r="C2549" s="34"/>
      <c r="D2549" s="34"/>
      <c r="E2549" s="34"/>
    </row>
    <row r="2550" spans="2:5" x14ac:dyDescent="0.25">
      <c r="C2550" s="34"/>
      <c r="D2550" s="34"/>
      <c r="E2550" s="35"/>
    </row>
    <row r="2551" spans="2:5" x14ac:dyDescent="0.25">
      <c r="C2551" s="34"/>
      <c r="D2551" s="34"/>
      <c r="E2551" s="35"/>
    </row>
    <row r="2552" spans="2:5" x14ac:dyDescent="0.25">
      <c r="C2552" s="34"/>
      <c r="D2552" s="34"/>
      <c r="E2552" s="35"/>
    </row>
    <row r="2553" spans="2:5" x14ac:dyDescent="0.25">
      <c r="C2553" s="34"/>
      <c r="D2553" s="34"/>
      <c r="E2553" s="35"/>
    </row>
    <row r="2554" spans="2:5" x14ac:dyDescent="0.25">
      <c r="C2554" s="34"/>
      <c r="D2554" s="34"/>
      <c r="E2554" s="35"/>
    </row>
    <row r="2555" spans="2:5" x14ac:dyDescent="0.25">
      <c r="C2555" s="34"/>
      <c r="D2555" s="34"/>
      <c r="E2555" s="35"/>
    </row>
    <row r="2556" spans="2:5" x14ac:dyDescent="0.25">
      <c r="C2556" s="34"/>
      <c r="D2556" s="34"/>
      <c r="E2556" s="35"/>
    </row>
    <row r="2557" spans="2:5" x14ac:dyDescent="0.25">
      <c r="C2557" s="34"/>
      <c r="D2557" s="34"/>
      <c r="E2557" s="35"/>
    </row>
    <row r="2558" spans="2:5" x14ac:dyDescent="0.25">
      <c r="C2558" s="34"/>
      <c r="D2558" s="34"/>
      <c r="E2558" s="35"/>
    </row>
    <row r="2559" spans="2:5" x14ac:dyDescent="0.25">
      <c r="C2559" s="34"/>
      <c r="D2559" s="34"/>
      <c r="E2559" s="35"/>
    </row>
    <row r="2560" spans="2:5" x14ac:dyDescent="0.25">
      <c r="C2560" s="34"/>
      <c r="D2560" s="34"/>
      <c r="E2560" s="35"/>
    </row>
    <row r="2561" spans="2:5" x14ac:dyDescent="0.25">
      <c r="C2561" s="34"/>
      <c r="D2561" s="34"/>
      <c r="E2561" s="35"/>
    </row>
    <row r="2562" spans="2:5" x14ac:dyDescent="0.25">
      <c r="C2562" s="34"/>
      <c r="D2562" s="34"/>
      <c r="E2562" s="35"/>
    </row>
    <row r="2563" spans="2:5" x14ac:dyDescent="0.25">
      <c r="B2563" s="34"/>
      <c r="C2563" s="34"/>
      <c r="D2563" s="34"/>
      <c r="E2563" s="34"/>
    </row>
    <row r="2564" spans="2:5" x14ac:dyDescent="0.25">
      <c r="C2564" s="34"/>
      <c r="D2564" s="34"/>
      <c r="E2564" s="35"/>
    </row>
    <row r="2565" spans="2:5" x14ac:dyDescent="0.25">
      <c r="C2565" s="34"/>
      <c r="D2565" s="34"/>
      <c r="E2565" s="35"/>
    </row>
    <row r="2566" spans="2:5" x14ac:dyDescent="0.25">
      <c r="C2566" s="34"/>
      <c r="D2566" s="34"/>
      <c r="E2566" s="35"/>
    </row>
    <row r="2567" spans="2:5" x14ac:dyDescent="0.25">
      <c r="C2567" s="34"/>
      <c r="D2567" s="34"/>
      <c r="E2567" s="35"/>
    </row>
    <row r="2568" spans="2:5" x14ac:dyDescent="0.25">
      <c r="C2568" s="34"/>
      <c r="D2568" s="34"/>
      <c r="E2568" s="35"/>
    </row>
    <row r="2569" spans="2:5" x14ac:dyDescent="0.25">
      <c r="C2569" s="34"/>
      <c r="D2569" s="34"/>
      <c r="E2569" s="35"/>
    </row>
    <row r="2570" spans="2:5" x14ac:dyDescent="0.25">
      <c r="C2570" s="34"/>
      <c r="D2570" s="34"/>
      <c r="E2570" s="35"/>
    </row>
    <row r="2571" spans="2:5" x14ac:dyDescent="0.25">
      <c r="C2571" s="34"/>
      <c r="D2571" s="34"/>
      <c r="E2571" s="35"/>
    </row>
    <row r="2572" spans="2:5" x14ac:dyDescent="0.25">
      <c r="C2572" s="34"/>
      <c r="D2572" s="34"/>
      <c r="E2572" s="35"/>
    </row>
    <row r="2573" spans="2:5" x14ac:dyDescent="0.25">
      <c r="C2573" s="34"/>
      <c r="D2573" s="34"/>
      <c r="E2573" s="35"/>
    </row>
    <row r="2574" spans="2:5" x14ac:dyDescent="0.25">
      <c r="C2574" s="34"/>
      <c r="D2574" s="34"/>
      <c r="E2574" s="35"/>
    </row>
    <row r="2575" spans="2:5" x14ac:dyDescent="0.25">
      <c r="C2575" s="34"/>
      <c r="D2575" s="34"/>
      <c r="E2575" s="35"/>
    </row>
    <row r="2576" spans="2:5" x14ac:dyDescent="0.25">
      <c r="C2576" s="34"/>
      <c r="D2576" s="34"/>
      <c r="E2576" s="35"/>
    </row>
    <row r="2577" spans="3:5" x14ac:dyDescent="0.25">
      <c r="C2577" s="34"/>
      <c r="D2577" s="34"/>
      <c r="E2577" s="35"/>
    </row>
    <row r="2578" spans="3:5" x14ac:dyDescent="0.25">
      <c r="C2578" s="34"/>
      <c r="D2578" s="34"/>
      <c r="E2578" s="35"/>
    </row>
    <row r="2579" spans="3:5" x14ac:dyDescent="0.25">
      <c r="C2579" s="34"/>
      <c r="D2579" s="34"/>
      <c r="E2579" s="35"/>
    </row>
    <row r="2580" spans="3:5" x14ac:dyDescent="0.25">
      <c r="C2580" s="34"/>
      <c r="D2580" s="34"/>
      <c r="E2580" s="35"/>
    </row>
    <row r="2581" spans="3:5" x14ac:dyDescent="0.25">
      <c r="C2581" s="34"/>
      <c r="D2581" s="34"/>
      <c r="E2581" s="35"/>
    </row>
    <row r="2582" spans="3:5" x14ac:dyDescent="0.25">
      <c r="C2582" s="34"/>
      <c r="D2582" s="34"/>
      <c r="E2582" s="35"/>
    </row>
    <row r="2583" spans="3:5" x14ac:dyDescent="0.25">
      <c r="C2583" s="34"/>
      <c r="D2583" s="34"/>
      <c r="E2583" s="35"/>
    </row>
    <row r="2584" spans="3:5" x14ac:dyDescent="0.25">
      <c r="C2584" s="34"/>
      <c r="D2584" s="34"/>
      <c r="E2584" s="35"/>
    </row>
    <row r="2585" spans="3:5" x14ac:dyDescent="0.25">
      <c r="C2585" s="34"/>
      <c r="D2585" s="34"/>
      <c r="E2585" s="35"/>
    </row>
    <row r="2586" spans="3:5" x14ac:dyDescent="0.25">
      <c r="C2586" s="34"/>
      <c r="D2586" s="34"/>
      <c r="E2586" s="35"/>
    </row>
    <row r="2587" spans="3:5" x14ac:dyDescent="0.25">
      <c r="C2587" s="34"/>
      <c r="D2587" s="34"/>
      <c r="E2587" s="35"/>
    </row>
    <row r="2588" spans="3:5" x14ac:dyDescent="0.25">
      <c r="C2588" s="34"/>
      <c r="D2588" s="34"/>
      <c r="E2588" s="35"/>
    </row>
    <row r="2589" spans="3:5" x14ac:dyDescent="0.25">
      <c r="C2589" s="34"/>
      <c r="D2589" s="34"/>
      <c r="E2589" s="35"/>
    </row>
    <row r="2590" spans="3:5" x14ac:dyDescent="0.25">
      <c r="C2590" s="34"/>
      <c r="D2590" s="34"/>
      <c r="E2590" s="35"/>
    </row>
    <row r="2591" spans="3:5" x14ac:dyDescent="0.25">
      <c r="C2591" s="34"/>
      <c r="D2591" s="34"/>
      <c r="E2591" s="35"/>
    </row>
    <row r="2592" spans="3:5" x14ac:dyDescent="0.25">
      <c r="C2592" s="34"/>
      <c r="D2592" s="34"/>
      <c r="E2592" s="35"/>
    </row>
    <row r="2593" spans="2:5" x14ac:dyDescent="0.25">
      <c r="C2593" s="34"/>
      <c r="D2593" s="34"/>
      <c r="E2593" s="35"/>
    </row>
    <row r="2594" spans="2:5" x14ac:dyDescent="0.25">
      <c r="C2594" s="34"/>
      <c r="D2594" s="34"/>
      <c r="E2594" s="35"/>
    </row>
    <row r="2595" spans="2:5" x14ac:dyDescent="0.25">
      <c r="C2595" s="34"/>
      <c r="D2595" s="34"/>
      <c r="E2595" s="35"/>
    </row>
    <row r="2596" spans="2:5" x14ac:dyDescent="0.25">
      <c r="C2596" s="34"/>
      <c r="D2596" s="34"/>
      <c r="E2596" s="35"/>
    </row>
    <row r="2597" spans="2:5" x14ac:dyDescent="0.25">
      <c r="C2597" s="34"/>
      <c r="D2597" s="34"/>
      <c r="E2597" s="35"/>
    </row>
    <row r="2598" spans="2:5" x14ac:dyDescent="0.25">
      <c r="C2598" s="34"/>
      <c r="D2598" s="34"/>
      <c r="E2598" s="35"/>
    </row>
    <row r="2599" spans="2:5" x14ac:dyDescent="0.25">
      <c r="C2599" s="34"/>
      <c r="D2599" s="34"/>
      <c r="E2599" s="35"/>
    </row>
    <row r="2600" spans="2:5" x14ac:dyDescent="0.25">
      <c r="C2600" s="34"/>
      <c r="D2600" s="34"/>
      <c r="E2600" s="35"/>
    </row>
    <row r="2601" spans="2:5" x14ac:dyDescent="0.25">
      <c r="C2601" s="34"/>
      <c r="D2601" s="34"/>
      <c r="E2601" s="35"/>
    </row>
    <row r="2602" spans="2:5" x14ac:dyDescent="0.25">
      <c r="B2602" s="34"/>
      <c r="C2602" s="34"/>
      <c r="D2602" s="34"/>
      <c r="E2602" s="34"/>
    </row>
    <row r="2603" spans="2:5" x14ac:dyDescent="0.25">
      <c r="C2603" s="34"/>
      <c r="D2603" s="34"/>
      <c r="E2603" s="35"/>
    </row>
    <row r="2604" spans="2:5" x14ac:dyDescent="0.25">
      <c r="C2604" s="34"/>
      <c r="D2604" s="34"/>
      <c r="E2604" s="35"/>
    </row>
    <row r="2605" spans="2:5" x14ac:dyDescent="0.25">
      <c r="C2605" s="34"/>
      <c r="D2605" s="34"/>
      <c r="E2605" s="35"/>
    </row>
    <row r="2606" spans="2:5" x14ac:dyDescent="0.25">
      <c r="C2606" s="34"/>
      <c r="D2606" s="34"/>
      <c r="E2606" s="35"/>
    </row>
    <row r="2607" spans="2:5" x14ac:dyDescent="0.25">
      <c r="C2607" s="34"/>
      <c r="D2607" s="34"/>
      <c r="E2607" s="35"/>
    </row>
    <row r="2608" spans="2:5" x14ac:dyDescent="0.25">
      <c r="C2608" s="34"/>
      <c r="D2608" s="34"/>
      <c r="E2608" s="35"/>
    </row>
    <row r="2609" spans="2:5" x14ac:dyDescent="0.25">
      <c r="C2609" s="34"/>
      <c r="D2609" s="34"/>
      <c r="E2609" s="35"/>
    </row>
    <row r="2610" spans="2:5" x14ac:dyDescent="0.25">
      <c r="C2610" s="34"/>
      <c r="D2610" s="34"/>
      <c r="E2610" s="35"/>
    </row>
    <row r="2611" spans="2:5" x14ac:dyDescent="0.25">
      <c r="C2611" s="34"/>
      <c r="D2611" s="34"/>
      <c r="E2611" s="35"/>
    </row>
    <row r="2612" spans="2:5" x14ac:dyDescent="0.25">
      <c r="C2612" s="34"/>
      <c r="D2612" s="34"/>
      <c r="E2612" s="35"/>
    </row>
    <row r="2613" spans="2:5" x14ac:dyDescent="0.25">
      <c r="C2613" s="34"/>
      <c r="D2613" s="34"/>
      <c r="E2613" s="35"/>
    </row>
    <row r="2614" spans="2:5" x14ac:dyDescent="0.25">
      <c r="C2614" s="34"/>
      <c r="D2614" s="34"/>
      <c r="E2614" s="35"/>
    </row>
    <row r="2615" spans="2:5" x14ac:dyDescent="0.25">
      <c r="C2615" s="34"/>
      <c r="D2615" s="34"/>
      <c r="E2615" s="35"/>
    </row>
    <row r="2616" spans="2:5" x14ac:dyDescent="0.25">
      <c r="C2616" s="34"/>
      <c r="D2616" s="34"/>
      <c r="E2616" s="35"/>
    </row>
    <row r="2617" spans="2:5" x14ac:dyDescent="0.25">
      <c r="C2617" s="34"/>
      <c r="D2617" s="34"/>
      <c r="E2617" s="35"/>
    </row>
    <row r="2618" spans="2:5" x14ac:dyDescent="0.25">
      <c r="C2618" s="34"/>
      <c r="D2618" s="34"/>
      <c r="E2618" s="35"/>
    </row>
    <row r="2619" spans="2:5" x14ac:dyDescent="0.25">
      <c r="B2619" s="34"/>
      <c r="C2619" s="34"/>
      <c r="D2619" s="34"/>
      <c r="E2619" s="34"/>
    </row>
    <row r="2620" spans="2:5" x14ac:dyDescent="0.25">
      <c r="C2620" s="34"/>
      <c r="D2620" s="34"/>
      <c r="E2620" s="35"/>
    </row>
    <row r="2621" spans="2:5" x14ac:dyDescent="0.25">
      <c r="C2621" s="34"/>
      <c r="D2621" s="34"/>
      <c r="E2621" s="35"/>
    </row>
    <row r="2622" spans="2:5" x14ac:dyDescent="0.25">
      <c r="C2622" s="34"/>
      <c r="D2622" s="34"/>
      <c r="E2622" s="35"/>
    </row>
    <row r="2623" spans="2:5" x14ac:dyDescent="0.25">
      <c r="C2623" s="34"/>
      <c r="D2623" s="34"/>
      <c r="E2623" s="35"/>
    </row>
    <row r="2624" spans="2:5" x14ac:dyDescent="0.25">
      <c r="C2624" s="34"/>
      <c r="D2624" s="34"/>
      <c r="E2624" s="35"/>
    </row>
    <row r="2625" spans="2:5" x14ac:dyDescent="0.25">
      <c r="B2625" s="34"/>
      <c r="C2625" s="34"/>
      <c r="D2625" s="34"/>
      <c r="E2625" s="34"/>
    </row>
    <row r="2626" spans="2:5" x14ac:dyDescent="0.25">
      <c r="C2626" s="34"/>
      <c r="D2626" s="34"/>
      <c r="E2626" s="35"/>
    </row>
    <row r="2627" spans="2:5" x14ac:dyDescent="0.25">
      <c r="C2627" s="34"/>
      <c r="D2627" s="34"/>
      <c r="E2627" s="35"/>
    </row>
    <row r="2628" spans="2:5" x14ac:dyDescent="0.25">
      <c r="C2628" s="34"/>
      <c r="D2628" s="34"/>
      <c r="E2628" s="35"/>
    </row>
    <row r="2629" spans="2:5" x14ac:dyDescent="0.25">
      <c r="C2629" s="34"/>
      <c r="D2629" s="34"/>
      <c r="E2629" s="35"/>
    </row>
    <row r="2630" spans="2:5" x14ac:dyDescent="0.25">
      <c r="C2630" s="34"/>
      <c r="D2630" s="34"/>
      <c r="E2630" s="35"/>
    </row>
    <row r="2631" spans="2:5" x14ac:dyDescent="0.25">
      <c r="C2631" s="34"/>
      <c r="D2631" s="34"/>
      <c r="E2631" s="35"/>
    </row>
    <row r="2632" spans="2:5" x14ac:dyDescent="0.25">
      <c r="C2632" s="34"/>
      <c r="D2632" s="34"/>
      <c r="E2632" s="35"/>
    </row>
    <row r="2633" spans="2:5" x14ac:dyDescent="0.25">
      <c r="C2633" s="34"/>
      <c r="D2633" s="34"/>
      <c r="E2633" s="35"/>
    </row>
    <row r="2634" spans="2:5" x14ac:dyDescent="0.25">
      <c r="C2634" s="34"/>
      <c r="D2634" s="34"/>
      <c r="E2634" s="35"/>
    </row>
    <row r="2635" spans="2:5" x14ac:dyDescent="0.25">
      <c r="C2635" s="34"/>
      <c r="D2635" s="34"/>
      <c r="E2635" s="35"/>
    </row>
    <row r="2636" spans="2:5" x14ac:dyDescent="0.25">
      <c r="C2636" s="34"/>
      <c r="D2636" s="34"/>
      <c r="E2636" s="35"/>
    </row>
    <row r="2637" spans="2:5" x14ac:dyDescent="0.25">
      <c r="C2637" s="34"/>
      <c r="D2637" s="34"/>
      <c r="E2637" s="35"/>
    </row>
    <row r="2638" spans="2:5" x14ac:dyDescent="0.25">
      <c r="C2638" s="34"/>
      <c r="D2638" s="34"/>
      <c r="E2638" s="35"/>
    </row>
    <row r="2639" spans="2:5" x14ac:dyDescent="0.25">
      <c r="C2639" s="34"/>
      <c r="D2639" s="34"/>
      <c r="E2639" s="35"/>
    </row>
    <row r="2640" spans="2:5" x14ac:dyDescent="0.25">
      <c r="C2640" s="34"/>
      <c r="D2640" s="34"/>
      <c r="E2640" s="35"/>
    </row>
    <row r="2641" spans="2:5" x14ac:dyDescent="0.25">
      <c r="C2641" s="34"/>
      <c r="D2641" s="34"/>
      <c r="E2641" s="35"/>
    </row>
    <row r="2642" spans="2:5" x14ac:dyDescent="0.25">
      <c r="C2642" s="34"/>
      <c r="D2642" s="34"/>
      <c r="E2642" s="35"/>
    </row>
    <row r="2643" spans="2:5" x14ac:dyDescent="0.25">
      <c r="C2643" s="34"/>
      <c r="D2643" s="34"/>
      <c r="E2643" s="35"/>
    </row>
    <row r="2644" spans="2:5" x14ac:dyDescent="0.25">
      <c r="C2644" s="34"/>
      <c r="D2644" s="34"/>
      <c r="E2644" s="35"/>
    </row>
    <row r="2645" spans="2:5" x14ac:dyDescent="0.25">
      <c r="C2645" s="34"/>
      <c r="D2645" s="34"/>
      <c r="E2645" s="35"/>
    </row>
    <row r="2646" spans="2:5" x14ac:dyDescent="0.25">
      <c r="C2646" s="34"/>
      <c r="D2646" s="34"/>
      <c r="E2646" s="35"/>
    </row>
    <row r="2647" spans="2:5" x14ac:dyDescent="0.25">
      <c r="C2647" s="34"/>
      <c r="D2647" s="34"/>
      <c r="E2647" s="35"/>
    </row>
    <row r="2648" spans="2:5" x14ac:dyDescent="0.25">
      <c r="C2648" s="34"/>
      <c r="D2648" s="34"/>
      <c r="E2648" s="35"/>
    </row>
    <row r="2649" spans="2:5" x14ac:dyDescent="0.25">
      <c r="B2649" s="34"/>
      <c r="C2649" s="34"/>
      <c r="D2649" s="34"/>
      <c r="E2649" s="34"/>
    </row>
    <row r="2650" spans="2:5" x14ac:dyDescent="0.25">
      <c r="C2650" s="34"/>
      <c r="D2650" s="34"/>
      <c r="E2650" s="35"/>
    </row>
    <row r="2651" spans="2:5" x14ac:dyDescent="0.25">
      <c r="C2651" s="34"/>
      <c r="D2651" s="34"/>
      <c r="E2651" s="35"/>
    </row>
    <row r="2652" spans="2:5" x14ac:dyDescent="0.25">
      <c r="C2652" s="34"/>
      <c r="D2652" s="34"/>
      <c r="E2652" s="35"/>
    </row>
    <row r="2653" spans="2:5" x14ac:dyDescent="0.25">
      <c r="C2653" s="34"/>
      <c r="D2653" s="34"/>
      <c r="E2653" s="35"/>
    </row>
    <row r="2654" spans="2:5" x14ac:dyDescent="0.25">
      <c r="C2654" s="34"/>
      <c r="D2654" s="34"/>
      <c r="E2654" s="35"/>
    </row>
    <row r="2655" spans="2:5" x14ac:dyDescent="0.25">
      <c r="C2655" s="34"/>
      <c r="D2655" s="34"/>
      <c r="E2655" s="35"/>
    </row>
    <row r="2656" spans="2:5" x14ac:dyDescent="0.25">
      <c r="B2656" s="34"/>
      <c r="C2656" s="34"/>
      <c r="D2656" s="34"/>
      <c r="E2656" s="34"/>
    </row>
    <row r="2657" spans="3:5" x14ac:dyDescent="0.25">
      <c r="C2657" s="34"/>
      <c r="D2657" s="34"/>
      <c r="E2657" s="35"/>
    </row>
    <row r="2658" spans="3:5" x14ac:dyDescent="0.25">
      <c r="C2658" s="34"/>
      <c r="D2658" s="34"/>
      <c r="E2658" s="35"/>
    </row>
    <row r="2659" spans="3:5" x14ac:dyDescent="0.25">
      <c r="C2659" s="34"/>
      <c r="D2659" s="34"/>
      <c r="E2659" s="35"/>
    </row>
    <row r="2660" spans="3:5" x14ac:dyDescent="0.25">
      <c r="C2660" s="34"/>
      <c r="D2660" s="34"/>
      <c r="E2660" s="35"/>
    </row>
    <row r="2661" spans="3:5" x14ac:dyDescent="0.25">
      <c r="C2661" s="34"/>
      <c r="D2661" s="34"/>
      <c r="E2661" s="35"/>
    </row>
    <row r="2662" spans="3:5" x14ac:dyDescent="0.25">
      <c r="C2662" s="34"/>
      <c r="D2662" s="34"/>
      <c r="E2662" s="35"/>
    </row>
    <row r="2663" spans="3:5" x14ac:dyDescent="0.25">
      <c r="C2663" s="34"/>
      <c r="D2663" s="34"/>
      <c r="E2663" s="35"/>
    </row>
    <row r="2664" spans="3:5" x14ac:dyDescent="0.25">
      <c r="C2664" s="34"/>
      <c r="D2664" s="34"/>
      <c r="E2664" s="35"/>
    </row>
    <row r="2665" spans="3:5" x14ac:dyDescent="0.25">
      <c r="C2665" s="34"/>
      <c r="D2665" s="34"/>
      <c r="E2665" s="35"/>
    </row>
    <row r="2666" spans="3:5" x14ac:dyDescent="0.25">
      <c r="C2666" s="34"/>
      <c r="D2666" s="34"/>
      <c r="E2666" s="35"/>
    </row>
    <row r="2667" spans="3:5" x14ac:dyDescent="0.25">
      <c r="C2667" s="34"/>
      <c r="D2667" s="34"/>
      <c r="E2667" s="35"/>
    </row>
    <row r="2668" spans="3:5" x14ac:dyDescent="0.25">
      <c r="C2668" s="34"/>
      <c r="D2668" s="34"/>
      <c r="E2668" s="35"/>
    </row>
    <row r="2669" spans="3:5" x14ac:dyDescent="0.25">
      <c r="C2669" s="34"/>
      <c r="D2669" s="34"/>
      <c r="E2669" s="35"/>
    </row>
    <row r="2670" spans="3:5" x14ac:dyDescent="0.25">
      <c r="C2670" s="34"/>
      <c r="D2670" s="34"/>
      <c r="E2670" s="35"/>
    </row>
    <row r="2671" spans="3:5" x14ac:dyDescent="0.25">
      <c r="C2671" s="34"/>
      <c r="D2671" s="34"/>
      <c r="E2671" s="35"/>
    </row>
    <row r="2672" spans="3:5" x14ac:dyDescent="0.25">
      <c r="C2672" s="34"/>
      <c r="D2672" s="34"/>
      <c r="E2672" s="35"/>
    </row>
    <row r="2673" spans="3:5" x14ac:dyDescent="0.25">
      <c r="C2673" s="34"/>
      <c r="D2673" s="34"/>
      <c r="E2673" s="35"/>
    </row>
    <row r="2674" spans="3:5" x14ac:dyDescent="0.25">
      <c r="C2674" s="34"/>
      <c r="D2674" s="34"/>
      <c r="E2674" s="35"/>
    </row>
    <row r="2675" spans="3:5" x14ac:dyDescent="0.25">
      <c r="C2675" s="34"/>
      <c r="D2675" s="34"/>
      <c r="E2675" s="35"/>
    </row>
    <row r="2676" spans="3:5" x14ac:dyDescent="0.25">
      <c r="C2676" s="34"/>
      <c r="D2676" s="34"/>
      <c r="E2676" s="35"/>
    </row>
    <row r="2677" spans="3:5" x14ac:dyDescent="0.25">
      <c r="C2677" s="34"/>
      <c r="D2677" s="34"/>
      <c r="E2677" s="35"/>
    </row>
    <row r="2678" spans="3:5" x14ac:dyDescent="0.25">
      <c r="C2678" s="34"/>
      <c r="D2678" s="34"/>
      <c r="E2678" s="35"/>
    </row>
    <row r="2679" spans="3:5" x14ac:dyDescent="0.25">
      <c r="C2679" s="34"/>
      <c r="D2679" s="34"/>
      <c r="E2679" s="35"/>
    </row>
    <row r="2680" spans="3:5" x14ac:dyDescent="0.25">
      <c r="C2680" s="34"/>
      <c r="D2680" s="34"/>
      <c r="E2680" s="35"/>
    </row>
  </sheetData>
  <sortState ref="A2:Q2680">
    <sortCondition ref="O2:O2680"/>
  </sortState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5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4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3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Parameters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2016-11-22T16:16:17Z</dcterms:modified>
</cp:coreProperties>
</file>